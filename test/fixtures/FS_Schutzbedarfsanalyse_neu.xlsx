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11"/>
  <workbookPr filterPrivacy="1" showInkAnnotation="0" codeName="DieseArbeitsmappe" defaultThemeVersion="124226"/>
  <xr:revisionPtr revIDLastSave="0" documentId="13_ncr:1_{F1E04D3A-3152-A240-90BD-E0EE6E3490E4}" xr6:coauthVersionLast="47" xr6:coauthVersionMax="47" xr10:uidLastSave="{00000000-0000-0000-0000-000000000000}"/>
  <bookViews>
    <workbookView xWindow="0" yWindow="780" windowWidth="29400" windowHeight="16840" tabRatio="584" xr2:uid="{00000000-000D-0000-FFFF-FFFF00000000}"/>
  </bookViews>
  <sheets>
    <sheet name="Deckblatt" sheetId="17" r:id="rId1"/>
    <sheet name="Anwendung" sheetId="16" r:id="rId2"/>
    <sheet name="Schutzbedarfskategorien" sheetId="13" r:id="rId3"/>
    <sheet name="Hilfstabelle" sheetId="15" state="hidden" r:id="rId4"/>
  </sheets>
  <definedNames>
    <definedName name="_xlnm._FilterDatabase" localSheetId="1" hidden="1">Anwendung!#REF!</definedName>
    <definedName name="_xlnm.Print_Titles" localSheetId="2">Schutzbedarfskategorien!$E:$E</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7" i="16" l="1"/>
  <c r="G60" i="16"/>
  <c r="G103" i="16"/>
  <c r="G91" i="16"/>
  <c r="G82" i="16"/>
  <c r="G76" i="16"/>
  <c r="G54" i="16"/>
  <c r="G45" i="16"/>
  <c r="D5" i="15" s="1"/>
  <c r="G39" i="16"/>
  <c r="G29" i="16"/>
  <c r="G23" i="16"/>
  <c r="G17" i="16"/>
  <c r="G9" i="16"/>
  <c r="G3" i="16"/>
  <c r="G66" i="16"/>
  <c r="G51" i="16"/>
  <c r="D6" i="15" s="1"/>
  <c r="G88" i="16"/>
  <c r="F6" i="15" s="1"/>
  <c r="F9" i="15" l="1"/>
  <c r="F8" i="15"/>
  <c r="F7" i="15"/>
  <c r="D9" i="15"/>
  <c r="D8" i="15"/>
  <c r="D7" i="15"/>
  <c r="D4" i="15"/>
  <c r="D10" i="15" l="1"/>
  <c r="E37" i="16" s="1"/>
  <c r="F5" i="15"/>
  <c r="F4" i="15"/>
  <c r="B8" i="15"/>
  <c r="B7" i="15"/>
  <c r="B6" i="15"/>
  <c r="B5" i="15"/>
  <c r="F10" i="15" l="1"/>
  <c r="E74" i="16" s="1"/>
  <c r="B4" i="15"/>
  <c r="B10" i="15" s="1"/>
  <c r="E1" i="16" s="1"/>
  <c r="D21" i="17" l="1"/>
  <c r="D22" i="17" l="1"/>
  <c r="D23" i="1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H18" authorId="0" shapeId="0" xr:uid="{00000000-0006-0000-0000-000001000000}">
      <text>
        <r>
          <rPr>
            <sz val="8"/>
            <color rgb="FF000000"/>
            <rFont val="Tahoma"/>
            <family val="2"/>
          </rPr>
          <t xml:space="preserve">= Angaben über 
</t>
        </r>
        <r>
          <rPr>
            <sz val="8"/>
            <color rgb="FF000000"/>
            <rFont val="Tahoma"/>
            <family val="2"/>
          </rPr>
          <t xml:space="preserve">- rassische oder ethnische Herkunft,
</t>
        </r>
        <r>
          <rPr>
            <sz val="8"/>
            <color rgb="FF000000"/>
            <rFont val="Tahoma"/>
            <family val="2"/>
          </rPr>
          <t xml:space="preserve">- politische Meinungen,
</t>
        </r>
        <r>
          <rPr>
            <sz val="8"/>
            <color rgb="FF000000"/>
            <rFont val="Tahoma"/>
            <family val="2"/>
          </rPr>
          <t xml:space="preserve">- religiöse oder philosophische Überzeugungen, 
</t>
        </r>
        <r>
          <rPr>
            <sz val="8"/>
            <color rgb="FF000000"/>
            <rFont val="Tahoma"/>
            <family val="2"/>
          </rPr>
          <t xml:space="preserve">- Gewerkschaftszugehörigkeit, 
</t>
        </r>
        <r>
          <rPr>
            <sz val="8"/>
            <color rgb="FF000000"/>
            <rFont val="Tahoma"/>
            <family val="2"/>
          </rPr>
          <t xml:space="preserve">- Gesundeheit, 
</t>
        </r>
        <r>
          <rPr>
            <sz val="8"/>
            <color rgb="FF000000"/>
            <rFont val="Tahoma"/>
            <family val="2"/>
          </rPr>
          <t>- Sexualleben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B9" authorId="0" shapeId="0" xr:uid="{00000000-0006-0000-0100-000001000000}">
      <text>
        <r>
          <rPr>
            <sz val="9"/>
            <color rgb="FF000000"/>
            <rFont val="Tahoma"/>
            <family val="2"/>
          </rPr>
          <t>Das Szenario ist nur zu betrachten, wenn es sich um personenbezogene Daten handelt!</t>
        </r>
      </text>
    </comment>
    <comment ref="D12" authorId="0" shapeId="0" xr:uid="{00000000-0006-0000-0100-000002000000}">
      <text>
        <r>
          <rPr>
            <sz val="8"/>
            <color rgb="FF000000"/>
            <rFont val="Tahoma"/>
            <family val="2"/>
          </rPr>
          <t>Dies ist z.B. der Fall, wenn Informationen über den Gesundheitszustand oder die finanziellen Verhältnisse durch Unbefugte zur Kenntnis genommen / veröffentlich werden.</t>
        </r>
      </text>
    </comment>
    <comment ref="D13" authorId="0" shapeId="0" xr:uid="{00000000-0006-0000-0100-000003000000}">
      <text>
        <r>
          <rPr>
            <sz val="8"/>
            <color rgb="FF000000"/>
            <rFont val="Tahoma"/>
            <family val="2"/>
          </rPr>
          <t>Dies ist z.B. der Fall, wenn Daten von Personen mit speziellen Funktionen / Befugnissen durch Unbefugte zur Kenntnis genommen / veröffentlicht werden können.</t>
        </r>
      </text>
    </comment>
    <comment ref="D26" authorId="0" shapeId="0" xr:uid="{00000000-0006-0000-0100-000004000000}">
      <text>
        <r>
          <rPr>
            <sz val="8"/>
            <color rgb="FF000000"/>
            <rFont val="Tahoma"/>
            <family val="2"/>
          </rPr>
          <t>Dies ist z.B. der Fall, wenn in der Öffentlichkeit Zweifel an der amtlichen Verschwiegenheit bestehen oder die Beschäftigten das Vertrauen in die Behörde verlieren.</t>
        </r>
      </text>
    </comment>
    <comment ref="D27" authorId="0" shapeId="0" xr:uid="{00000000-0006-0000-0100-000005000000}">
      <text>
        <r>
          <rPr>
            <sz val="8"/>
            <color rgb="FF000000"/>
            <rFont val="Tahoma"/>
            <family val="2"/>
          </rPr>
          <t>Dies ist z.B. der Fall, wenn die Zweifel an der amtlichen Verschwiegenheit dauerhaft sind oder die Veröffentlichung der Informationen zu einer dauerhaften gesellschaftlichen oder politischen Verunsicherung führt.</t>
        </r>
      </text>
    </comment>
    <comment ref="B45" authorId="0" shapeId="0" xr:uid="{00000000-0006-0000-0100-000006000000}">
      <text>
        <r>
          <rPr>
            <sz val="9"/>
            <color rgb="FF000000"/>
            <rFont val="Tahoma"/>
            <family val="2"/>
          </rPr>
          <t>Das Szenario ist nur zu betrachten, wenn es sich um personenbezogene Daten handelt!</t>
        </r>
      </text>
    </comment>
    <comment ref="D48" authorId="0" shapeId="0" xr:uid="{00000000-0006-0000-0100-000007000000}">
      <text>
        <r>
          <rPr>
            <sz val="8"/>
            <color indexed="81"/>
            <rFont val="Tahoma"/>
            <family val="2"/>
          </rPr>
          <t>Dies ist z.B. der Fall, wenn Informationen über den Gesundheitszustand oder die finanziellen Verhältnisse verfälscht / manipuliert werden.</t>
        </r>
      </text>
    </comment>
    <comment ref="D49" authorId="0" shapeId="0" xr:uid="{00000000-0006-0000-0100-000008000000}">
      <text>
        <r>
          <rPr>
            <sz val="8"/>
            <color indexed="81"/>
            <rFont val="Tahoma"/>
            <family val="2"/>
          </rPr>
          <t>Dies ist z.B. der Fall, wenn Daten von Personen mit speziellen Funktionen / Befugnissen verfälscht / manipuliert werden.</t>
        </r>
      </text>
    </comment>
    <comment ref="B51" authorId="0" shapeId="0" xr:uid="{00000000-0006-0000-0100-000009000000}">
      <text>
        <r>
          <rPr>
            <sz val="9"/>
            <color rgb="FF000000"/>
            <rFont val="Tahoma"/>
            <family val="2"/>
          </rPr>
          <t>Für die Anwendung dieses Szenarios muss die Fehlfunktion der Anwendung / des IT-Systems unmittelbare Ursache für Verletzung, Invalidität oder Tot sein.</t>
        </r>
      </text>
    </comment>
    <comment ref="D56" authorId="0" shapeId="0" xr:uid="{00000000-0006-0000-0100-00000A000000}">
      <text>
        <r>
          <rPr>
            <sz val="8"/>
            <color indexed="81"/>
            <rFont val="Tahoma"/>
            <family val="2"/>
          </rPr>
          <t>Das ist der Fall, wenn die Verfälschung der Information bemerkt wird und somit die Aufgabenerfüllung nicht beeinträchtigt wird.</t>
        </r>
      </text>
    </comment>
    <comment ref="D57" authorId="0" shapeId="0" xr:uid="{00000000-0006-0000-0100-00000B000000}">
      <text>
        <r>
          <rPr>
            <sz val="8"/>
            <color indexed="81"/>
            <rFont val="Tahoma"/>
            <family val="2"/>
          </rPr>
          <t>Das ist z.B. der Fall, wenn die Aufgaben mit den verfälschten Informationen wahrgenommen werden, weil die Verfälschung der Informationen nicht bemerkt wird.</t>
        </r>
      </text>
    </comment>
    <comment ref="D58" authorId="0" shapeId="0" xr:uid="{00000000-0006-0000-0100-00000C000000}">
      <text>
        <r>
          <rPr>
            <sz val="8"/>
            <color indexed="81"/>
            <rFont val="Tahoma"/>
            <family val="2"/>
          </rPr>
          <t>Das ist z.B. der Fall, wenn verfälschte Informationen in anderen Prozessen weiter verwendet werden und dadurch zu Fehlern in mehreren Organisationseinheiten führen.</t>
        </r>
      </text>
    </comment>
    <comment ref="D63" authorId="0" shapeId="0" xr:uid="{00000000-0006-0000-0100-00000D000000}">
      <text>
        <r>
          <rPr>
            <sz val="8"/>
            <color indexed="81"/>
            <rFont val="Tahoma"/>
            <family val="2"/>
          </rPr>
          <t>Dies ist z.B. der Fall, wenn die Verfälschung/Manipulation in der Öffentlichkeit bekannt wird und dadurch ein Ansehensverlust für die Behörde entsteht.</t>
        </r>
      </text>
    </comment>
    <comment ref="D64" authorId="0" shapeId="0" xr:uid="{00000000-0006-0000-0100-00000E000000}">
      <text>
        <r>
          <rPr>
            <sz val="8"/>
            <color indexed="81"/>
            <rFont val="Tahoma"/>
            <family val="2"/>
          </rPr>
          <t>Dies ist z.B. der Fall, wenn die Veröffentlichung der verfälschten Informationen zu einer dauerhaften gesellschaftlichen oder politischen Verunsicherung führen.</t>
        </r>
      </text>
    </comment>
    <comment ref="D77" authorId="0" shapeId="0" xr:uid="{00000000-0006-0000-0100-00000F000000}">
      <text>
        <r>
          <rPr>
            <sz val="8"/>
            <color indexed="81"/>
            <rFont val="Tahoma"/>
            <family val="2"/>
          </rPr>
          <t>Nichtverfügbarkeit durch Ausfall der Anwendung oder Störung der Datenübertragung</t>
        </r>
      </text>
    </comment>
    <comment ref="D78" authorId="0" shapeId="0" xr:uid="{00000000-0006-0000-0100-000010000000}">
      <text>
        <r>
          <rPr>
            <sz val="8"/>
            <color indexed="81"/>
            <rFont val="Tahoma"/>
            <family val="2"/>
          </rPr>
          <t>Dies ist z.B. der Fall, wenn keine zwingend einzuhaltenden Termin versäumt werden.</t>
        </r>
      </text>
    </comment>
    <comment ref="D79" authorId="0" shapeId="0" xr:uid="{00000000-0006-0000-0100-000011000000}">
      <text>
        <r>
          <rPr>
            <sz val="8"/>
            <color indexed="81"/>
            <rFont val="Tahoma"/>
            <family val="2"/>
          </rPr>
          <t>Dies ist z.B. der Fall, wenn die Einhaltung zwingender Termine gefährdet wird.</t>
        </r>
      </text>
    </comment>
    <comment ref="D80" authorId="0" shapeId="0" xr:uid="{00000000-0006-0000-0100-000012000000}">
      <text>
        <r>
          <rPr>
            <sz val="8"/>
            <color indexed="81"/>
            <rFont val="Tahoma"/>
            <family val="2"/>
          </rPr>
          <t>Dies ist z.B. der Fall, wenn zwingend einzuhaltende Termine versäumt werden.</t>
        </r>
      </text>
    </comment>
    <comment ref="B82" authorId="0" shapeId="0" xr:uid="{00000000-0006-0000-0100-000013000000}">
      <text>
        <r>
          <rPr>
            <sz val="9"/>
            <color indexed="81"/>
            <rFont val="Tahoma"/>
            <family val="2"/>
          </rPr>
          <t>Das Szenario ist nur zu betrachten, wenn es sich um personenbezogene Daten handelt!</t>
        </r>
      </text>
    </comment>
    <comment ref="D83" authorId="0" shapeId="0" xr:uid="{00000000-0006-0000-0100-000014000000}">
      <text>
        <r>
          <rPr>
            <sz val="8"/>
            <color rgb="FF000000"/>
            <rFont val="Tahoma"/>
            <family val="2"/>
          </rPr>
          <t>Nichtverfügbarkeit durch Ausfall der Anwendung oder Störung der Datenübertragung</t>
        </r>
      </text>
    </comment>
    <comment ref="D85" authorId="0" shapeId="0" xr:uid="{00000000-0006-0000-0100-000015000000}">
      <text>
        <r>
          <rPr>
            <sz val="8"/>
            <color indexed="81"/>
            <rFont val="Tahoma"/>
            <family val="2"/>
          </rPr>
          <t>Dies ist z.B. der Fall, wenn personenbezogene Daten verloren gehen oder verfälscht werden.</t>
        </r>
      </text>
    </comment>
    <comment ref="D86" authorId="0" shapeId="0" xr:uid="{00000000-0006-0000-0100-000016000000}">
      <text>
        <r>
          <rPr>
            <sz val="8"/>
            <color indexed="81"/>
            <rFont val="Tahoma"/>
            <family val="2"/>
          </rPr>
          <t>Dies ist z.B. der Fall, wenn personenbezogene Daten von Personen mit speziellen Funktionen / Befugnissen verloren gehen oder verfälscht werden.</t>
        </r>
      </text>
    </comment>
    <comment ref="B88" authorId="0" shapeId="0" xr:uid="{00000000-0006-0000-0100-000017000000}">
      <text>
        <r>
          <rPr>
            <sz val="9"/>
            <color indexed="81"/>
            <rFont val="Tahoma"/>
            <family val="2"/>
          </rPr>
          <t>Für die Anwendung dieses Szenarios muss die Fehlfunktion der Anwendung / des IT-Systems unmittelbare Ursache für Verletzung, Invalidität oder Tot sein.</t>
        </r>
      </text>
    </comment>
    <comment ref="D92" authorId="0" shapeId="0" xr:uid="{00000000-0006-0000-0100-000018000000}">
      <text>
        <r>
          <rPr>
            <sz val="8"/>
            <color indexed="81"/>
            <rFont val="Tahoma"/>
            <family val="2"/>
          </rPr>
          <t>Nichtverfügbarkeit durch Ausfall der Anwendung oder Störung der Datenübertragung</t>
        </r>
      </text>
    </comment>
    <comment ref="D98" authorId="0" shapeId="0" xr:uid="{00000000-0006-0000-0100-000019000000}">
      <text>
        <r>
          <rPr>
            <sz val="8"/>
            <color indexed="81"/>
            <rFont val="Tahoma"/>
            <family val="2"/>
          </rPr>
          <t>Nichtverfügbarkeit durch Ausfall der Anwendung oder Störung der Datenübertragung</t>
        </r>
      </text>
    </comment>
    <comment ref="D100" authorId="0" shapeId="0" xr:uid="{00000000-0006-0000-0100-00001A000000}">
      <text>
        <r>
          <rPr>
            <sz val="8"/>
            <color indexed="81"/>
            <rFont val="Tahoma"/>
            <family val="2"/>
          </rPr>
          <t>Dies ist z.B. der Fall, wenn die Nichtverfügbarkeit der Information in der Öffentlichkeit bekannt wird und dadurch ein Ansehensverlust für die Behörde entsteht.</t>
        </r>
      </text>
    </comment>
    <comment ref="D101" authorId="0" shapeId="0" xr:uid="{00000000-0006-0000-0100-00001B000000}">
      <text>
        <r>
          <rPr>
            <sz val="8"/>
            <color indexed="81"/>
            <rFont val="Tahoma"/>
            <family val="2"/>
          </rPr>
          <t>Dies ist z.B. der Fall, wenn die Nichtverfügbarkeit der Informationen dazu führt, dass Informationspflichten gegenüber Dritten (andere Ressorts, Organe der EU, etc) nicht wahrgenommen werden können.</t>
        </r>
      </text>
    </comment>
    <comment ref="D104" authorId="0" shapeId="0" xr:uid="{00000000-0006-0000-0100-00001C000000}">
      <text>
        <r>
          <rPr>
            <sz val="8"/>
            <color indexed="81"/>
            <rFont val="Tahoma"/>
            <family val="2"/>
          </rPr>
          <t>Nichtverfügbarkeit durch Ausfall der Anwendung oder Störung der Datenübertragung</t>
        </r>
      </text>
    </comment>
  </commentList>
</comments>
</file>

<file path=xl/sharedStrings.xml><?xml version="1.0" encoding="utf-8"?>
<sst xmlns="http://schemas.openxmlformats.org/spreadsheetml/2006/main" count="269" uniqueCount="173">
  <si>
    <t xml:space="preserve">                                              Schutzbedarfsanalyse 
</t>
  </si>
  <si>
    <t>Schutzbedarfsfeststellung für</t>
  </si>
  <si>
    <t>Version:</t>
  </si>
  <si>
    <t>Status:</t>
  </si>
  <si>
    <t>&lt;bitte auswählen&gt;</t>
  </si>
  <si>
    <t>zuletzt bearbeitet am:</t>
  </si>
  <si>
    <t>tt.mm.jjjj</t>
  </si>
  <si>
    <t>von:</t>
  </si>
  <si>
    <t>fachlich freigegeben am:</t>
  </si>
  <si>
    <t>freigegeben am:</t>
  </si>
  <si>
    <t>Verantwortliche Organisationseinheit:</t>
  </si>
  <si>
    <t>Kontakt:</t>
  </si>
  <si>
    <t>personenbezogene Daten:</t>
  </si>
  <si>
    <t>besondere Art personenbezogener Daten:</t>
  </si>
  <si>
    <t>Schutzbedarf Zusammenfassung</t>
  </si>
  <si>
    <t>Begründung</t>
  </si>
  <si>
    <t>Vertraulichkeit</t>
  </si>
  <si>
    <t>Integrität</t>
  </si>
  <si>
    <t>Verfügbarkeit</t>
  </si>
  <si>
    <t>Änderungshistorie</t>
  </si>
  <si>
    <t>Nr.</t>
  </si>
  <si>
    <t>Version</t>
  </si>
  <si>
    <t>Datum</t>
  </si>
  <si>
    <t>Beschreibung der Änderung</t>
  </si>
  <si>
    <t>Bearbeiter</t>
  </si>
  <si>
    <t>Grundwert Vertraulichkeit</t>
  </si>
  <si>
    <t>Schadensszenario</t>
  </si>
  <si>
    <t>Frage</t>
  </si>
  <si>
    <t>Antwort</t>
  </si>
  <si>
    <t>weitere Ausführungen</t>
  </si>
  <si>
    <t>Schutzbedarf</t>
  </si>
  <si>
    <t>Erläuterung  Schutzbedarf</t>
  </si>
  <si>
    <t>Verstoß gegen Gesetze, Vorschriften und Verträge</t>
  </si>
  <si>
    <t>Erfordern Gesetze, Vorschriften oder vertragliche Regelungen die Vertraulichkeit der Informationen?</t>
  </si>
  <si>
    <t>Falls ja, führt die Kenntnisnahme der Informationen durch Unbefugte zu</t>
  </si>
  <si>
    <t>geringen Verstößen gegen diese Regelungen und damit zu geringfügigen juristischen Konsequenzen / Vertragsstrafen?</t>
  </si>
  <si>
    <t>erheblichen Verstößen gegen diese Regelungen und damit zu erheblichen juristischen Konsequenzen / Vertragsstrafen?</t>
  </si>
  <si>
    <t>fundamentalen Verstößen gegen diese Regelungen und damit zu massiven juristischen Konsequenzen / Vertragsstrafen?</t>
  </si>
  <si>
    <t>Beeinträchtigung des informationellen Selbstbestimmungs-rechts</t>
  </si>
  <si>
    <t>Erfolgt eine Verarbeitung von personenbezogenen Daten?</t>
  </si>
  <si>
    <t>Falls ja, hat die Kenntnisnahme der personenbezogenen Daten durch Unbefugte</t>
  </si>
  <si>
    <t>geringfügige Auswirkungen auf die Betroffenen und wird von diesen toleriert?</t>
  </si>
  <si>
    <t>erhebliche Auswirkungen auf die Betroffenen und kann diese in ihrer gesellschaftlichen Stellung oder ihren wirtschaftlichen Verhältnissen erheblich beeinträchtigen?</t>
  </si>
  <si>
    <t>fundamentale Auswirkungen auf die Betroffenen und kann für diese eine Gefahr für Leib und Leben oder die persönliche Freiheit darstellen?</t>
  </si>
  <si>
    <t>Beeinträchtigung der persönlichen Unversehrtheit</t>
  </si>
  <si>
    <t>Eine Betrachtung dieses Szenarions beim Grundwert Vertraulichkeit ist nicht sinnvoll, da keine Unmittelbarkeit zwischen Vertraulichkeitsverlust und Beeinträchtigung denkbar ist.</t>
  </si>
  <si>
    <t>Beeinträchtigung der Aufgabenerfüllung</t>
  </si>
  <si>
    <t>Ist die Vertraulichkeit der Informationen Grundlage der Aufgabenerfüllung?</t>
  </si>
  <si>
    <t>Falls ja, hat die Kenntnisnahme der Informationen durch Unbefugte</t>
  </si>
  <si>
    <t>geringfügige Auswirkungen auf die Aufgabenerfüllung und wird von diesen toleriert?</t>
  </si>
  <si>
    <t>erhebliche Auswirkungen auf die Aufgabenerfüllung und wird von einzelnen Betroffenen als nicht tolerierbar eingeschätzt?</t>
  </si>
  <si>
    <t>fundamentale Auswirkungen auf die Aufgabenerfüllung und wird von allen Betroffenen als nicht tolerierbar eingeschätzt?</t>
  </si>
  <si>
    <t>Negative Innen- oder Außenwirkung</t>
  </si>
  <si>
    <t>Erfolgt eine Verarbeitung schutzbedürftiger Informationen?</t>
  </si>
  <si>
    <t>einer geringen bzw. nur ressortinternen Ansehens- / Vertrauensbeeinträchtigung?</t>
  </si>
  <si>
    <t>einer erheblichen Ansehens- / Vertrauensbeeinträchtigung auch außerhalb des Ressorts?</t>
  </si>
  <si>
    <t>einer dauerhaften Ansehens- / Vertrauensbeeinträchtigung außerhalb des Ressorts, ggf. sogar auf internationaler Ebene?</t>
  </si>
  <si>
    <t>Finanzielle Auswirkungen</t>
  </si>
  <si>
    <t>einem finanziellen Schaden von weniger als 1.000.000,00 €?</t>
  </si>
  <si>
    <t>einem finanziellen Schaden von mehr als 1.000.000,00 €?</t>
  </si>
  <si>
    <t>einem finanziellen Schaden von mehr als 10.000.000,00 €?</t>
  </si>
  <si>
    <t>Grundwert Integrität</t>
  </si>
  <si>
    <t>Erfordern Gesetze, Vorschriften oder vertragliche Regelungen die Integrität der Informationen?</t>
  </si>
  <si>
    <t>Falls ja, führt die Verfälschung/Manipulation der Informationen zu</t>
  </si>
  <si>
    <t>Falls ja, hat die Verfälschung/Manipulation der personenbezogenen Daten</t>
  </si>
  <si>
    <t>Können Menschen durch manipulierte Programmabläufe oder Daten gesundheitlich beeinträchtigt werden?</t>
  </si>
  <si>
    <t>Falls ja, besteht durch die Verfälschung/Manipulation der Informationen/Programmabläufe eine Gefahr für Leib und Leben?</t>
  </si>
  <si>
    <t>Ist die Integrität der Informationen Grundlage der Aufgabenerfüllung?</t>
  </si>
  <si>
    <t>Falls ja, hat die Verfälschung/Manipulation der Informationen</t>
  </si>
  <si>
    <t>geringfügige Auswirkungen auf die Aufgabenerfüllung und wird von den Betroffenen toleriert?</t>
  </si>
  <si>
    <t>Grundwert Verfügbarkeit</t>
  </si>
  <si>
    <t>Erfordern Gesetze, Vorschriften oder vertragliche Regelungen die Verfügbarkeit der Informationen?</t>
  </si>
  <si>
    <t>Falls ja, führt die Nichtverfügbarkeit der Informationen zu</t>
  </si>
  <si>
    <t>Falls ja, hat die Nichtverfügbarkeit der personenbezogenen Daten</t>
  </si>
  <si>
    <t>keine Auswirkungen auf die Betroffenen?</t>
  </si>
  <si>
    <t>Ist die Verfügbarkeit der Informationen Grundlage der Aufgabenerfüllung?</t>
  </si>
  <si>
    <t>Falls ja, hat die Nichtverfügbarkeit der Informationen</t>
  </si>
  <si>
    <t>geringfügige Auswirkungen auf die Aufgabenerfüllung und wird auch bei einer Dauer über 24 Stunden hinaus von den Betroffenen toleriert?</t>
  </si>
  <si>
    <t>erhebliche Auswirkungen auf die Aufgabenerfüllung und kann nur bei einer Dauer zwischen 1 und 24 Stunden von den Betroffenen toleriert werden?</t>
  </si>
  <si>
    <t>fundamentale Auswirkungen auf die Aufgabenerfüllung und kann nur bis zu einer Dauer von 1 Stunde von den Betroffenen toleriert werden?</t>
  </si>
  <si>
    <t>Schutzbedarfskategorie „normal“</t>
  </si>
  <si>
    <t>Schutzbedarfskategorie "hoch"</t>
  </si>
  <si>
    <t>Schutzbedarfskategorie "sehr hoch"</t>
  </si>
  <si>
    <t>Szenario</t>
  </si>
  <si>
    <t>Verstoß gegen Gesetze, Verträge, Vorschriften</t>
  </si>
  <si>
    <t>Gesetzliche/vertragliche Regelungen, die die Vertraulichkeit, Integrität oder Verfügbarkeit der Informationen fordern, sind entweder nicht existent oder</t>
  </si>
  <si>
    <t>Die Kenntnisnahme der Informationen durch Unbefugte führt zu erheblichen Verstößen gegen gesetzliche/vertragliche Regelungen und damit zu erheblichen juristischen Konsequenzen/Vertragsstrafen.</t>
  </si>
  <si>
    <t>Die Verfälschung/Manipulation der Informationen führt zu erheblichen Verstößen gegen gesetzliche/vertragliche Regelungen damit zu erheblichen juristischen Konsequenzen/Vertragsstrafen.</t>
  </si>
  <si>
    <t>Die Nichtverfügbarkeit führt zu erheblichen Verstößen gegen gesetzliche/vertragliche Regelungen. Die Einhaltung zwingender Termine wird gefährdet; erhebliche juristische Konsequenzen/Vertragsstrafen können entstehen.</t>
  </si>
  <si>
    <t>Die Kenntnisnahme der Informationen durch Unbefugte führt zu fundamentalen Verstößen gegen gesetzliche/vertragliche Regelungen und damit zu massiven juristischen Konsequenzen/Vertragsstrafen.</t>
  </si>
  <si>
    <t>Die Verfälschung/Manipulation der Informationen führt zu fundamentalen Verstößen gegen gesetzliche/vertragliche Regelungen und damit zu massiven juristischen Konsequenzen/Vertragsstrafen.</t>
  </si>
  <si>
    <t>Die Nichtverfügbarkeit der Informationen führt zu fundamentalen Verstößen gegen gesetzliche/vertragliche Regelungen. Zwingend einzuhaltende Termine werden versäumt, massive juristische Konsequenzen/Vertragsstrafen können entstehen.</t>
  </si>
  <si>
    <t>die Kenntnisnahme der Informationen durch Unbefugte führt zu geringen Verstößen gegen gesetzliche/vertragliche Regelungen und damit zu geringfügigen juristischen Konsequenzen/Vertragsstrafen.</t>
  </si>
  <si>
    <t>die Verfälschung/Manipulation der Informationen führt zu geringen Verstößen gegen gesetzliche/vertragliche Regelungen und damit zu geringfügigen juristischen Konsequenzen/Vertragsstrafen.</t>
  </si>
  <si>
    <t>die Nichtverfügbarkeit der Information (Ausfall der Anwendung oder Störung der Datenübertragung) führt nicht zur Nichteinhaltung zwingender Termine und damit zu geringfügigen juristischen Konsequenzen/Vertragsstrafen.</t>
  </si>
  <si>
    <t>Beeinträchtigung des informationellen Selbst-bestimmungsrechts</t>
  </si>
  <si>
    <t>Es erfolgt keine Verarbeitung von personenbezogenen Daten oder</t>
  </si>
  <si>
    <t>Die Kenntnisnahme der personenbezogenen Daten durch Unbefugte hat erhebliche Auswirkungen auf die Betroffenen und kann sie in ihrer gesellschaftlichen Stellung oder ihren wirtschaftlichen Verhältnissen erheblich beeinträchtigen. Dies ist z. B. der Fall, wenn Informationen über den Gesundheitszustand oder die finanziellen Verhältnisse enthalten sind.</t>
  </si>
  <si>
    <t>Die Verfälschung/Manipulation personenbezogener Daten hat erhebliche Auswirkungen auf die Betroffenen und kann diese in ihrer gesellschaftlichen Stellung oder ihren wirtschaftlichen Verhältnissen erheblich beeinträchtigen.</t>
  </si>
  <si>
    <t xml:space="preserve">Die Nichtverfügbarkeit der Daten hat erhebliche Auswirkungen auf die Betroffenen und kann diese in ihrer gesellschaftlichen Stellung beeinträchtigen oder zu persönlichen oder wirtschaftlichen Nachteilen führen. 
Das ist z.B. der Fall, wenn durch Ausfall der Anwendung oder Störung der Datenübertragung personenbezogene Daten verloren gehen oder verfälscht werden.
</t>
  </si>
  <si>
    <t>Die Kenntnisnahme der personenbezogenen Daten durch Unbefugte hat fundamentale Auswirkungen auf die Betroffenen und kann für diese eine Gefahr für Leib und Leben oder die persönliche Freiheit darstellen. Dies ist z. B. der Fall, wenn Daten von Personen mit speziellen Funktionen/Befugnissen durch Unbefugte zur Kenntnis genommen werden können.</t>
  </si>
  <si>
    <t>Die Verfälschung/Manipulation personenbezogener Daten hat fundamentale Auswirkungen auf die Betroffenen und kann für diese eine Gefahr für Leib und Leben oder die persönliche Freiheit darstellen.</t>
  </si>
  <si>
    <t>Die Nichtverfügbarkeit der Daten hat fundamentale Auswirkungen auf die Betroffenen und kann für diese eine Gefahr für Leib und Leben oder die persönliche Freiheit darstellen. Das ist z.B. der Fall, wenn durch Ausfall der Anwendung oder Störung der Datenübertragung personenbezogene Daten verloren gehen oder verfälscht werden.</t>
  </si>
  <si>
    <t>die Kenntnisnahme der personenbezogenen Daten durch Unbefugte hat geringfügige Auswirkungen auf die Betroffenen und wird von diesen toleriert.</t>
  </si>
  <si>
    <t>die Verfälschung/Manipulation personenbezogener Daten hat geringfügige Auswirkungen auf die Betroffenen und wird von diesen toleriert.</t>
  </si>
  <si>
    <t>die Nichtverfügbarkeit personenbezogener Daten hat keine Auswirkungen auf die Betroffenen.</t>
  </si>
  <si>
    <t>Die Kenntnisnahme der Informationen durch Unbefugte führt nicht zu einer Beeinträchtigung der persönlichen Unversehrtheit.</t>
  </si>
  <si>
    <t>Die Verfälschung/Manipulation der Informationen oder Programmabläufe führt nicht zu einer Beeinträchtigung der persönlichen Unversehrtheit.</t>
  </si>
  <si>
    <t>Die Nichtverfügbarkeit der Informationen führt nicht zu einer Beeinträchtigung der persönlichen Unversehrtheit.</t>
  </si>
  <si>
    <t>Eine Beeinträchtigung der persönlichen Unversehrtheit durch Kenntnisnahme der Informationen durch Unbefugte kann nicht absolut ausgeschlossen werden.</t>
  </si>
  <si>
    <t>Eine Beeinträchtigung der persönlichen Unversehrtheit durch Verfälschung/Manipulation der Informationen oder kann nicht absolut ausgeschlossen werden.</t>
  </si>
  <si>
    <t>Eine Beeinträchtigung der persönlichen Unversehrtheit durch Nichtverfügbarkeit der Informationen (Ausfall der Anwendung oder Störung der Datenübertragung) kann nicht absolut ausgeschlossen werden.</t>
  </si>
  <si>
    <t>Durch Kenntnisnahme der Informationen durch Unbefugte sind gravierende Beeinträchtigungen der persönlichen Unversehrtheit möglich. Es besteht Gefahr für Leib und Leben.</t>
  </si>
  <si>
    <t>Durch Verfälschung/Manipulation der Informationen oder Programmabläufe sind gravierende Beeinträchtigungen der persönlichen Unversehrtheit möglich. Es besteht Gefahr für Leib und Leben.</t>
  </si>
  <si>
    <t>Durch Ausfall der Anwendung / des IT-Systems oder Störung der Datenübertragung sind gravierende Beeinträchtigungen der persönlichen Unversehrtheit möglich. Es besteht Gefahr für Leib und Leben.</t>
  </si>
  <si>
    <t>Die Vertraulichkeit der Informationen ist nicht Grundlage der Aufgabenerfüllung oder</t>
  </si>
  <si>
    <t>Die Vertraulichkeit der Informationen ist Grundlage der Aufgabenerfüllung; die Kenntnisnahme durch Unbefugte hat erhebliche Auswirkungen auf die Aufgabenerfüllung und wird von einzelnen Betroffenen als nicht tolerierbar eingeschätzt.</t>
  </si>
  <si>
    <t>Die Verfälschung/Manipulation der Informationen hat erhebliche Auswirkungen auf die Aufgabenerfüllung und wird von einzelnen Betroffenen als nicht tolerierbar eingeschätzt.</t>
  </si>
  <si>
    <t>Die Nichtverfügbarkeit der Informationen hat erhebliche Auswirkungen auf die Aufgabenerfüllung und kann nur bei einer Dauer zwischen einer und 24 Stunden von den Betroffenen toleriert werden.</t>
  </si>
  <si>
    <t>Die Vertraulichkeit der Informationen ist Grundlage der Aufgabenerfüllung; die Kenntnisnahme durch Unbefugte hat fundamentale Auswirkungen auf die Aufgabenerfüllung und wird von allen Betroffenen als nicht tolerierbar eingeschätzt.</t>
  </si>
  <si>
    <t>Die Verfälschung/Manipulation der Informationen hat fundamentale Auswirkungen auf die Aufgabenerfüllung und wird von allen Betroffenen als nicht tolerierbar eingeschätzt.</t>
  </si>
  <si>
    <t>Die Nichtverfügbarkeit der Informationen hat fundamentale Auswirkungen auf die Aufgabenerfüllung und kann nur bis zu einer Dauer von 1 Stunde von den Betroffenen toleriert werden.</t>
  </si>
  <si>
    <t>die Kenntnisnahme der Informationen durch Unbefugte hat geringfügige Auswirkungen auf die Aufgabenerfüllung und wird von den Betroffenen toleriert.</t>
  </si>
  <si>
    <t>die Verfälschung/Manipulation der Informationen hat geringfügige Auswirkungen auf die Aufgabenerfüllung und wird von den Betroffenen bemerkt werden.</t>
  </si>
  <si>
    <t>die Nichtverfügbarkeit der Informationen hat geringfügige Auswirkungen auf die Aufgabenerfüllung und wird auch bei einer Dauer über 24 Stunden hinaus von den Betroffenen toleriert.</t>
  </si>
  <si>
    <t>Negative Innen- und Außenwirkung</t>
  </si>
  <si>
    <t>Es erfolgt keine Verarbeitung von schutzbedürftigen Informationen oder</t>
  </si>
  <si>
    <t>Die Kenntnisnahme der Informationen durch Unbefugte führt zu einer erheblichen Ansehens-/ Vertrauensbeeinträchtigung auch außerhalb des Ressorts.</t>
  </si>
  <si>
    <t>Die Verfälschung/Manipulation der Informationen führt zu einer erheblichen Ansehens-/ Vertrauensbeeinträchtigung auch außerhalb des Ressorts.</t>
  </si>
  <si>
    <t>Die Nichtverfügbarkeit der Informationen führt zu einer erheblichen Ansehens-/Vertrauensbeeinträchtigung auch außerhalb der Ressorts.</t>
  </si>
  <si>
    <t>Die Kenntnisnahme der Informationen durch Unbefugte führt zu einer dauerhaften Ansehens-/ Vertrauensbeeinträchtigung außerhalb des Ressorts, ggf. sogar auf internationaler Ebene.</t>
  </si>
  <si>
    <t>Die Verfälschung/Manipulation der Informationen führt zu einer dauerhaften Ansehens-/ Vertrauensbeeinträchtigung außerhalb des Ressorts, ggf. sogar auf internationaler Ebene.</t>
  </si>
  <si>
    <t>Die Nichtverfügbarkeit der Informationen führt zu einer dauerhaften Ansehens-/ Vertrauensbeeinträchtigung außerhalb des Ressorts, ggf. sogar auf internationaler Ebene.</t>
  </si>
  <si>
    <t>die Kenntnisnahme der Informationen durch Unbefugte führt zu einer geringen bzw. nur ressortinternen Ansehens-/Vertrauensbeeinträchtigung.</t>
  </si>
  <si>
    <t>die Verfälschung/Manipulation der Informationen führt zu einer geringen bzw. nur ressortinternen Ansehens-/Vertrauensbeeinträchtigung</t>
  </si>
  <si>
    <t>die Nichtverfügbarkeit der Informationen führt zu einer geringen bzw. nur ressortinternen Ansehens-/Vertrauensbeeinträchtigung.</t>
  </si>
  <si>
    <t>Finanzielle
Auswirkungen</t>
  </si>
  <si>
    <t>Die Kenntnisnahme der Informationen durch Unbefugtehat erhebliche finanzielle Auswirkungen. Das ist der Fall, wenn der finanzielle Schaden eine Höhe von mehr als 1.000.000 € hat.</t>
  </si>
  <si>
    <t>Die Verfälschung/Manipulation der Informationen hat erhebliche finanzielle Auswirkungen. Das ist der Fall, wenn der finanzielle Schaden eine Höhe von mehr als 1.000.000 € hat.</t>
  </si>
  <si>
    <t>Die Nichtverfügbarkeit der Informationen hat erhebliche finanzielle Auswirkungen. Das ist der Fall, wenn der finanzielle Schaden eine Höhe von mehr als 1.000.000 € hat.</t>
  </si>
  <si>
    <t>Die Kenntnisnahme der Informationen durch Unbefugte hat fundamentale finanzielle Ausirkungen. Das ist der Fall, wenn der finanzielle Schaden eine Höhe von mehr als 10.000.000 € hat.</t>
  </si>
  <si>
    <t>Die Verfälschung/Manipulation der Informationen hat fundamentale finanzielle Auswirkungen. Das ist der Fall, wenn der finanzielle Schaden eine Höhe von mehr als 10.000.000 € hat.</t>
  </si>
  <si>
    <t>Die Nichtverfügbarkeit der Informationen hat fundamentale finanzielle Auswirkungen. Das ist der Fall, wenn der finanzielle Schaden eine Höhe von mehr als 10.000.000 € hat.</t>
  </si>
  <si>
    <t>die Kenntnisnahme der Informationen durch Unbefugte hat geringfügige finanzielle Auswirkungen. Das ist der Fall, wenn der finanziellen Schaden eine Höhe von weniger als 1.000.000 € hat.</t>
  </si>
  <si>
    <t>die Verfälschung/Manipulation der Informationen hat geringfügige finanzielle Auswirkungen. Das ist der Fall, wenn der finanzielle Schaden eine Höhe von weniger als 1.000.000 € hat.</t>
  </si>
  <si>
    <t>die Nichtverfügbarkeit der Informationen hat geringfügige finanzielle Auswirkungen. Das ist der Fall, wenn der finanzielle Schaden eine Höhe von weniger als 1.000.000 € hat.</t>
  </si>
  <si>
    <t>Grundwert: Vertraulichkeit</t>
  </si>
  <si>
    <t>Grundwert: Integrität</t>
  </si>
  <si>
    <t>Grundwert: Verfügbarkeit</t>
  </si>
  <si>
    <t>Spalte</t>
  </si>
  <si>
    <t>Wert</t>
  </si>
  <si>
    <t>G3</t>
  </si>
  <si>
    <t>G39</t>
  </si>
  <si>
    <t>G76</t>
  </si>
  <si>
    <t>G9</t>
  </si>
  <si>
    <t>G45</t>
  </si>
  <si>
    <t>G82</t>
  </si>
  <si>
    <t>G17</t>
  </si>
  <si>
    <t>G51</t>
  </si>
  <si>
    <t>G88</t>
  </si>
  <si>
    <t>G23</t>
  </si>
  <si>
    <t>G54</t>
  </si>
  <si>
    <t>G91</t>
  </si>
  <si>
    <t>G29</t>
  </si>
  <si>
    <t>G60</t>
  </si>
  <si>
    <t>G97</t>
  </si>
  <si>
    <t>G66</t>
  </si>
  <si>
    <t>G103</t>
  </si>
  <si>
    <t>Summe</t>
  </si>
  <si>
    <t> 
Speichern Sie jede Schutzbedarfsanalyse einzeln für jedes schutzbedürftiges Asset ab, um die Rückverfolgbarkeit zu gewährleisten!</t>
  </si>
  <si>
    <t>hier das Asset eintragen</t>
  </si>
  <si>
    <t>Versionsangabe</t>
  </si>
  <si>
    <t>Ja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</si>
</sst>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 h:mm;@"/>
  </numFmts>
  <fonts count="24" x14ac:knownFonts="1">
    <font>
      <sz val="10"/>
      <name val="Arial"/>
    </font>
    <font>
      <sz val="11"/>
      <color theme="1"/>
      <name val="Calibri"/>
      <family val="2"/>
      <scheme val="minor"/>
    </font>
    <font>
      <sz val="8"/>
      <name val="Arial"/>
      <family val="2"/>
    </font>
    <font>
      <sz val="10"/>
      <name val="Arial"/>
      <family val="2"/>
    </font>
    <font>
      <sz val="8"/>
      <color indexed="81"/>
      <name val="Tahoma"/>
      <family val="2"/>
    </font>
    <font>
      <sz val="10"/>
      <name val="Calibri"/>
      <family val="2"/>
      <scheme val="minor"/>
    </font>
    <font>
      <sz val="11"/>
      <color indexed="8"/>
      <name val="Calibri"/>
      <family val="2"/>
      <scheme val="minor"/>
    </font>
    <font>
      <b/>
      <sz val="14"/>
      <color indexed="8"/>
      <name val="Calibri"/>
      <family val="2"/>
      <scheme val="minor"/>
    </font>
    <font>
      <b/>
      <sz val="10"/>
      <name val="Calibri"/>
      <family val="2"/>
      <scheme val="minor"/>
    </font>
    <font>
      <b/>
      <sz val="12"/>
      <name val="Calibri"/>
      <family val="2"/>
      <scheme val="minor"/>
    </font>
    <font>
      <sz val="10"/>
      <color indexed="8"/>
      <name val="Calibri"/>
      <family val="2"/>
      <scheme val="minor"/>
    </font>
    <font>
      <sz val="9"/>
      <color indexed="81"/>
      <name val="Tahoma"/>
      <family val="2"/>
    </font>
    <font>
      <b/>
      <sz val="10"/>
      <name val="Arial"/>
      <family val="2"/>
    </font>
    <font>
      <b/>
      <sz val="12"/>
      <name val="Arial"/>
      <family val="2"/>
    </font>
    <font>
      <sz val="9"/>
      <name val="Arial"/>
      <family val="2"/>
    </font>
    <font>
      <sz val="9"/>
      <color theme="1"/>
      <name val="Arial"/>
      <family val="2"/>
    </font>
    <font>
      <b/>
      <sz val="11"/>
      <name val="Arial"/>
      <family val="2"/>
    </font>
    <font>
      <b/>
      <sz val="9"/>
      <name val="Arial"/>
      <family val="2"/>
    </font>
    <font>
      <sz val="11"/>
      <name val="Calibri"/>
      <family val="2"/>
    </font>
    <font>
      <b/>
      <sz val="8"/>
      <name val="Arial"/>
      <family val="2"/>
    </font>
    <font>
      <sz val="8"/>
      <color rgb="FF000000"/>
      <name val="Tahoma"/>
      <family val="2"/>
    </font>
    <font>
      <sz val="9"/>
      <color rgb="FF000000"/>
      <name val="Tahoma"/>
      <family val="2"/>
    </font>
    <font>
      <i/>
      <sz val="10"/>
      <name val="Calibri"/>
      <family val="2"/>
      <scheme val="minor"/>
    </font>
    <font>
      <b/>
      <sz val="14"/>
      <color rgb="FF000000"/>
      <name val="Calibri"/>
      <family val="2"/>
      <scheme val="minor"/>
    </font>
  </fonts>
  <fills count="18">
    <fill>
      <patternFill patternType="none"/>
    </fill>
    <fill>
      <patternFill patternType="gray125"/>
    </fill>
    <fill>
      <patternFill patternType="solid">
        <fgColor indexed="9"/>
        <bgColor indexed="26"/>
      </patternFill>
    </fill>
    <fill>
      <patternFill patternType="solid">
        <fgColor indexed="65"/>
        <bgColor indexed="64"/>
      </patternFill>
    </fill>
    <fill>
      <patternFill patternType="solid">
        <fgColor theme="3" tint="0.79998168889431442"/>
        <bgColor indexed="41"/>
      </patternFill>
    </fill>
    <fill>
      <patternFill patternType="solid">
        <fgColor theme="3" tint="0.79998168889431442"/>
        <bgColor indexed="26"/>
      </patternFill>
    </fill>
    <fill>
      <patternFill patternType="solid">
        <fgColor theme="3" tint="0.79998168889431442"/>
        <bgColor indexed="64"/>
      </patternFill>
    </fill>
    <fill>
      <patternFill patternType="solid">
        <fgColor rgb="FF92D050"/>
        <bgColor indexed="64"/>
      </patternFill>
    </fill>
    <fill>
      <patternFill patternType="solid">
        <fgColor rgb="FFFFFF00"/>
        <bgColor indexed="64"/>
      </patternFill>
    </fill>
    <fill>
      <patternFill patternType="solid">
        <fgColor theme="3" tint="0.59999389629810485"/>
        <bgColor indexed="64"/>
      </patternFill>
    </fill>
    <fill>
      <patternFill patternType="solid">
        <fgColor theme="7" tint="0.39997558519241921"/>
        <bgColor indexed="64"/>
      </patternFill>
    </fill>
    <fill>
      <patternFill patternType="solid">
        <fgColor rgb="FFFF0000"/>
        <bgColor indexed="64"/>
      </patternFill>
    </fill>
    <fill>
      <patternFill patternType="solid">
        <fgColor rgb="FFDBE5F1"/>
        <bgColor indexed="64"/>
      </patternFill>
    </fill>
    <fill>
      <patternFill patternType="solid">
        <fgColor theme="7" tint="-0.249977111117893"/>
        <bgColor indexed="64"/>
      </patternFill>
    </fill>
    <fill>
      <patternFill patternType="solid">
        <fgColor theme="7" tint="0.59999389629810485"/>
        <bgColor indexed="64"/>
      </patternFill>
    </fill>
    <fill>
      <patternFill patternType="solid">
        <fgColor theme="9" tint="-0.249977111117893"/>
        <bgColor indexed="64"/>
      </patternFill>
    </fill>
    <fill>
      <patternFill patternType="solid">
        <fgColor theme="9" tint="0.59999389629810485"/>
        <bgColor indexed="64"/>
      </patternFill>
    </fill>
    <fill>
      <patternFill patternType="solid">
        <fgColor theme="4" tint="0.79998168889431442"/>
        <bgColor indexed="64"/>
      </patternFill>
    </fill>
  </fills>
  <borders count="53">
    <border>
      <left/>
      <right/>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right/>
      <top style="thin">
        <color indexed="8"/>
      </top>
      <bottom/>
      <diagonal/>
    </border>
    <border>
      <left/>
      <right/>
      <top/>
      <bottom style="thin">
        <color indexed="8"/>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diagonal/>
    </border>
    <border>
      <left style="thin">
        <color indexed="64"/>
      </left>
      <right/>
      <top/>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8"/>
      </top>
      <bottom style="thin">
        <color indexed="8"/>
      </bottom>
      <diagonal/>
    </border>
    <border>
      <left/>
      <right/>
      <top style="thin">
        <color theme="3" tint="0.59996337778862885"/>
      </top>
      <bottom style="thin">
        <color theme="3" tint="0.59996337778862885"/>
      </bottom>
      <diagonal/>
    </border>
    <border>
      <left style="thin">
        <color theme="3" tint="0.59996337778862885"/>
      </left>
      <right style="thin">
        <color theme="3" tint="0.59996337778862885"/>
      </right>
      <top style="thin">
        <color theme="3" tint="0.59996337778862885"/>
      </top>
      <bottom style="thin">
        <color theme="3" tint="0.59996337778862885"/>
      </bottom>
      <diagonal/>
    </border>
    <border>
      <left style="thin">
        <color theme="3" tint="0.59996337778862885"/>
      </left>
      <right/>
      <top/>
      <bottom/>
      <diagonal/>
    </border>
    <border>
      <left/>
      <right style="thin">
        <color theme="9" tint="0.59996337778862885"/>
      </right>
      <top style="thin">
        <color theme="9" tint="0.59996337778862885"/>
      </top>
      <bottom style="thin">
        <color theme="9" tint="0.59996337778862885"/>
      </bottom>
      <diagonal/>
    </border>
    <border>
      <left style="thin">
        <color theme="9" tint="0.59996337778862885"/>
      </left>
      <right style="thin">
        <color theme="9" tint="0.59996337778862885"/>
      </right>
      <top style="thin">
        <color theme="9" tint="0.59996337778862885"/>
      </top>
      <bottom style="thin">
        <color theme="9" tint="0.59996337778862885"/>
      </bottom>
      <diagonal/>
    </border>
    <border>
      <left/>
      <right style="thin">
        <color theme="7" tint="0.59996337778862885"/>
      </right>
      <top style="thin">
        <color theme="7" tint="0.59996337778862885"/>
      </top>
      <bottom style="thin">
        <color theme="7" tint="0.59996337778862885"/>
      </bottom>
      <diagonal/>
    </border>
    <border>
      <left style="thin">
        <color theme="7" tint="0.59996337778862885"/>
      </left>
      <right style="thin">
        <color theme="7" tint="0.59996337778862885"/>
      </right>
      <top style="thin">
        <color theme="7" tint="0.59996337778862885"/>
      </top>
      <bottom style="thin">
        <color theme="7" tint="0.59996337778862885"/>
      </bottom>
      <diagonal/>
    </border>
    <border>
      <left style="thin">
        <color theme="7" tint="0.59996337778862885"/>
      </left>
      <right/>
      <top/>
      <bottom/>
      <diagonal/>
    </border>
    <border>
      <left style="thin">
        <color theme="9" tint="0.59996337778862885"/>
      </left>
      <right/>
      <top/>
      <bottom/>
      <diagonal/>
    </border>
    <border>
      <left/>
      <right style="thin">
        <color theme="3" tint="0.59996337778862885"/>
      </right>
      <top style="thin">
        <color theme="3" tint="0.59996337778862885"/>
      </top>
      <bottom style="thin">
        <color theme="3" tint="0.59996337778862885"/>
      </bottom>
      <diagonal/>
    </border>
    <border>
      <left style="medium">
        <color rgb="FF808080"/>
      </left>
      <right/>
      <top style="medium">
        <color rgb="FF808080"/>
      </top>
      <bottom style="medium">
        <color rgb="FF808080"/>
      </bottom>
      <diagonal/>
    </border>
    <border>
      <left/>
      <right/>
      <top style="medium">
        <color rgb="FF808080"/>
      </top>
      <bottom style="medium">
        <color rgb="FF808080"/>
      </bottom>
      <diagonal/>
    </border>
    <border>
      <left/>
      <right style="medium">
        <color rgb="FF808080"/>
      </right>
      <top style="medium">
        <color rgb="FF808080"/>
      </top>
      <bottom style="medium">
        <color rgb="FF808080"/>
      </bottom>
      <diagonal/>
    </border>
    <border>
      <left style="medium">
        <color rgb="FF808080"/>
      </left>
      <right style="medium">
        <color rgb="FF808080"/>
      </right>
      <top/>
      <bottom style="medium">
        <color rgb="FF808080"/>
      </bottom>
      <diagonal/>
    </border>
    <border>
      <left/>
      <right style="medium">
        <color rgb="FF808080"/>
      </right>
      <top/>
      <bottom style="medium">
        <color rgb="FF808080"/>
      </bottom>
      <diagonal/>
    </border>
    <border>
      <left style="medium">
        <color rgb="FF808080"/>
      </left>
      <right style="medium">
        <color rgb="FF808080"/>
      </right>
      <top/>
      <bottom/>
      <diagonal/>
    </border>
    <border>
      <left/>
      <right style="medium">
        <color rgb="FF808080"/>
      </right>
      <top/>
      <bottom/>
      <diagonal/>
    </border>
    <border>
      <left style="medium">
        <color rgb="FF808080"/>
      </left>
      <right style="medium">
        <color rgb="FF808080"/>
      </right>
      <top style="medium">
        <color rgb="FF808080"/>
      </top>
      <bottom/>
      <diagonal/>
    </border>
    <border>
      <left style="medium">
        <color rgb="FF808080"/>
      </left>
      <right/>
      <top style="medium">
        <color rgb="FF808080"/>
      </top>
      <bottom/>
      <diagonal/>
    </border>
    <border>
      <left/>
      <right/>
      <top style="medium">
        <color rgb="FF808080"/>
      </top>
      <bottom/>
      <diagonal/>
    </border>
    <border>
      <left/>
      <right style="medium">
        <color rgb="FF808080"/>
      </right>
      <top style="medium">
        <color rgb="FF808080"/>
      </top>
      <bottom/>
      <diagonal/>
    </border>
    <border>
      <left style="thin">
        <color theme="9" tint="0.59996337778862885"/>
      </left>
      <right/>
      <top style="thin">
        <color theme="9" tint="0.59996337778862885"/>
      </top>
      <bottom style="thin">
        <color theme="9" tint="-0.24994659260841701"/>
      </bottom>
      <diagonal/>
    </border>
    <border>
      <left style="thin">
        <color theme="9" tint="0.59996337778862885"/>
      </left>
      <right/>
      <top style="thin">
        <color theme="9" tint="-0.24994659260841701"/>
      </top>
      <bottom style="thin">
        <color theme="9" tint="-0.24994659260841701"/>
      </bottom>
      <diagonal/>
    </border>
    <border>
      <left style="thin">
        <color theme="9" tint="0.59996337778862885"/>
      </left>
      <right/>
      <top style="thin">
        <color theme="9" tint="-0.24994659260841701"/>
      </top>
      <bottom style="thin">
        <color theme="9" tint="0.59996337778862885"/>
      </bottom>
      <diagonal/>
    </border>
    <border>
      <left style="thin">
        <color theme="9" tint="0.59996337778862885"/>
      </left>
      <right/>
      <top style="thin">
        <color theme="9" tint="0.59996337778862885"/>
      </top>
      <bottom/>
      <diagonal/>
    </border>
    <border>
      <left style="thin">
        <color theme="9" tint="0.59996337778862885"/>
      </left>
      <right/>
      <top/>
      <bottom style="thin">
        <color theme="9" tint="0.59996337778862885"/>
      </bottom>
      <diagonal/>
    </border>
    <border>
      <left style="thin">
        <color theme="7" tint="0.59996337778862885"/>
      </left>
      <right/>
      <top style="thin">
        <color theme="7" tint="0.59996337778862885"/>
      </top>
      <bottom/>
      <diagonal/>
    </border>
    <border>
      <left style="thin">
        <color theme="7" tint="0.59996337778862885"/>
      </left>
      <right/>
      <top/>
      <bottom style="thin">
        <color theme="7" tint="0.59996337778862885"/>
      </bottom>
      <diagonal/>
    </border>
    <border>
      <left style="thin">
        <color theme="3" tint="0.59996337778862885"/>
      </left>
      <right/>
      <top style="thin">
        <color theme="3" tint="0.59996337778862885"/>
      </top>
      <bottom/>
      <diagonal/>
    </border>
    <border>
      <left style="thin">
        <color theme="3" tint="0.59996337778862885"/>
      </left>
      <right/>
      <top/>
      <bottom style="thin">
        <color theme="3" tint="0.59996337778862885"/>
      </bottom>
      <diagonal/>
    </border>
    <border>
      <left/>
      <right style="thin">
        <color indexed="64"/>
      </right>
      <top style="thin">
        <color indexed="64"/>
      </top>
      <bottom/>
      <diagonal/>
    </border>
    <border>
      <left style="thin">
        <color theme="3" tint="0.59996337778862885"/>
      </left>
      <right style="thin">
        <color theme="3" tint="0.59996337778862885"/>
      </right>
      <top/>
      <bottom style="thin">
        <color theme="3" tint="0.59996337778862885"/>
      </bottom>
      <diagonal/>
    </border>
    <border>
      <left/>
      <right style="thin">
        <color theme="3" tint="0.59996337778862885"/>
      </right>
      <top/>
      <bottom style="thin">
        <color theme="3" tint="0.59996337778862885"/>
      </bottom>
      <diagonal/>
    </border>
    <border>
      <left style="thin">
        <color indexed="8"/>
      </left>
      <right/>
      <top style="thin">
        <color rgb="FF000000"/>
      </top>
      <bottom style="thin">
        <color rgb="FF000000"/>
      </bottom>
      <diagonal/>
    </border>
    <border>
      <left/>
      <right/>
      <top style="thin">
        <color rgb="FF000000"/>
      </top>
      <bottom style="thin">
        <color rgb="FF000000"/>
      </bottom>
      <diagonal/>
    </border>
    <border>
      <left/>
      <right style="thin">
        <color indexed="8"/>
      </right>
      <top style="thin">
        <color rgb="FF000000"/>
      </top>
      <bottom style="thin">
        <color rgb="FF000000"/>
      </bottom>
      <diagonal/>
    </border>
  </borders>
  <cellStyleXfs count="3">
    <xf numFmtId="0" fontId="0" fillId="0" borderId="0"/>
    <xf numFmtId="0" fontId="1" fillId="0" borderId="0"/>
    <xf numFmtId="0" fontId="3" fillId="0" borderId="0"/>
  </cellStyleXfs>
  <cellXfs count="225">
    <xf numFmtId="0" fontId="0" fillId="0" borderId="0" xfId="0"/>
    <xf numFmtId="0" fontId="5" fillId="3" borderId="0" xfId="0" applyFont="1" applyFill="1"/>
    <xf numFmtId="0" fontId="6" fillId="2" borderId="0" xfId="0" applyFont="1" applyFill="1" applyAlignment="1">
      <alignment horizontal="left" vertical="top"/>
    </xf>
    <xf numFmtId="0" fontId="7" fillId="2" borderId="0" xfId="0" applyFont="1" applyFill="1" applyAlignment="1">
      <alignment horizontal="center" vertical="top"/>
    </xf>
    <xf numFmtId="0" fontId="8" fillId="2" borderId="0" xfId="0" applyFont="1" applyFill="1" applyAlignment="1">
      <alignment horizontal="left" vertical="top"/>
    </xf>
    <xf numFmtId="0" fontId="5" fillId="2" borderId="0" xfId="0" applyFont="1" applyFill="1" applyAlignment="1">
      <alignment horizontal="left" vertical="top"/>
    </xf>
    <xf numFmtId="0" fontId="8" fillId="2" borderId="5" xfId="0" applyFont="1" applyFill="1" applyBorder="1" applyAlignment="1">
      <alignment horizontal="left" vertical="top"/>
    </xf>
    <xf numFmtId="0" fontId="5" fillId="5" borderId="14" xfId="0" applyFont="1" applyFill="1" applyBorder="1" applyAlignment="1">
      <alignment horizontal="left" vertical="top"/>
    </xf>
    <xf numFmtId="0" fontId="9" fillId="2" borderId="0" xfId="0" applyFont="1" applyFill="1" applyAlignment="1">
      <alignment horizontal="left" vertical="top"/>
    </xf>
    <xf numFmtId="0" fontId="9" fillId="2" borderId="0" xfId="0" applyFont="1" applyFill="1" applyAlignment="1">
      <alignment vertical="top"/>
    </xf>
    <xf numFmtId="0" fontId="9" fillId="2" borderId="6" xfId="0" applyFont="1" applyFill="1" applyBorder="1" applyAlignment="1">
      <alignment horizontal="left" vertical="top"/>
    </xf>
    <xf numFmtId="0" fontId="9" fillId="2" borderId="6" xfId="0" applyFont="1" applyFill="1" applyBorder="1" applyAlignment="1">
      <alignment vertical="top"/>
    </xf>
    <xf numFmtId="0" fontId="9" fillId="2" borderId="6" xfId="0" applyFont="1" applyFill="1" applyBorder="1" applyAlignment="1">
      <alignment horizontal="center" vertical="top"/>
    </xf>
    <xf numFmtId="0" fontId="6" fillId="2" borderId="0" xfId="0" applyFont="1" applyFill="1" applyAlignment="1">
      <alignment vertical="top"/>
    </xf>
    <xf numFmtId="0" fontId="5" fillId="2" borderId="4" xfId="0" applyFont="1" applyFill="1" applyBorder="1" applyAlignment="1" applyProtection="1">
      <alignment horizontal="left" vertical="top" wrapText="1"/>
      <protection locked="0"/>
    </xf>
    <xf numFmtId="0" fontId="5" fillId="2" borderId="0" xfId="0" applyFont="1" applyFill="1" applyAlignment="1">
      <alignment horizontal="left" vertical="top" wrapText="1"/>
    </xf>
    <xf numFmtId="0" fontId="6" fillId="2" borderId="0" xfId="0" applyFont="1" applyFill="1" applyAlignment="1">
      <alignment horizontal="left" vertical="top" wrapText="1"/>
    </xf>
    <xf numFmtId="0" fontId="5" fillId="2" borderId="0" xfId="0" applyFont="1" applyFill="1" applyAlignment="1" applyProtection="1">
      <alignment horizontal="left" vertical="top" wrapText="1"/>
      <protection locked="0"/>
    </xf>
    <xf numFmtId="14" fontId="10" fillId="2" borderId="0" xfId="0" applyNumberFormat="1" applyFont="1" applyFill="1" applyAlignment="1">
      <alignment horizontal="left" vertical="top"/>
    </xf>
    <xf numFmtId="0" fontId="10" fillId="2" borderId="0" xfId="0" applyFont="1" applyFill="1" applyAlignment="1">
      <alignment horizontal="left" vertical="top" wrapText="1"/>
    </xf>
    <xf numFmtId="0" fontId="13" fillId="9" borderId="0" xfId="0" applyFont="1" applyFill="1" applyAlignment="1">
      <alignment vertical="top"/>
    </xf>
    <xf numFmtId="0" fontId="3" fillId="0" borderId="0" xfId="0" applyFont="1" applyAlignment="1">
      <alignment horizontal="left" vertical="top" wrapText="1"/>
    </xf>
    <xf numFmtId="0" fontId="12" fillId="9" borderId="0" xfId="0" applyFont="1" applyFill="1" applyAlignment="1">
      <alignment horizontal="left" vertical="top" wrapText="1"/>
    </xf>
    <xf numFmtId="0" fontId="12" fillId="0" borderId="0" xfId="0" applyFont="1" applyAlignment="1">
      <alignment horizontal="left" vertical="top" wrapText="1"/>
    </xf>
    <xf numFmtId="0" fontId="3" fillId="9" borderId="0" xfId="0" applyFont="1" applyFill="1" applyAlignment="1">
      <alignment horizontal="left" vertical="top"/>
    </xf>
    <xf numFmtId="0" fontId="12" fillId="9" borderId="0" xfId="0" applyFont="1" applyFill="1" applyAlignment="1">
      <alignment horizontal="center" vertical="center" wrapText="1"/>
    </xf>
    <xf numFmtId="49" fontId="14" fillId="0" borderId="0" xfId="0" applyNumberFormat="1" applyFont="1" applyAlignment="1">
      <alignment horizontal="left" vertical="top" wrapText="1"/>
    </xf>
    <xf numFmtId="49" fontId="14" fillId="9" borderId="0" xfId="0" applyNumberFormat="1" applyFont="1" applyFill="1" applyAlignment="1">
      <alignment horizontal="left" vertical="top" wrapText="1"/>
    </xf>
    <xf numFmtId="0" fontId="14" fillId="9" borderId="0" xfId="0" applyFont="1" applyFill="1" applyAlignment="1">
      <alignment horizontal="left" vertical="top" wrapText="1"/>
    </xf>
    <xf numFmtId="0" fontId="15" fillId="9" borderId="0" xfId="0" applyFont="1" applyFill="1" applyAlignment="1">
      <alignment vertical="top" wrapText="1"/>
    </xf>
    <xf numFmtId="0" fontId="3" fillId="9" borderId="0" xfId="0" applyFont="1" applyFill="1" applyAlignment="1">
      <alignment horizontal="left" vertical="top" wrapText="1"/>
    </xf>
    <xf numFmtId="49" fontId="3" fillId="9" borderId="0" xfId="0" applyNumberFormat="1" applyFont="1" applyFill="1" applyAlignment="1">
      <alignment horizontal="left" vertical="top" wrapText="1"/>
    </xf>
    <xf numFmtId="0" fontId="12" fillId="10" borderId="0" xfId="0" applyFont="1" applyFill="1" applyAlignment="1">
      <alignment horizontal="left" vertical="top" wrapText="1"/>
    </xf>
    <xf numFmtId="0" fontId="3" fillId="10" borderId="0" xfId="0" applyFont="1" applyFill="1" applyAlignment="1">
      <alignment horizontal="left" vertical="top"/>
    </xf>
    <xf numFmtId="0" fontId="12" fillId="10" borderId="0" xfId="0" applyFont="1" applyFill="1" applyAlignment="1">
      <alignment horizontal="center" vertical="center" wrapText="1"/>
    </xf>
    <xf numFmtId="49" fontId="14" fillId="10" borderId="0" xfId="0" applyNumberFormat="1" applyFont="1" applyFill="1" applyAlignment="1">
      <alignment horizontal="left" vertical="top" wrapText="1"/>
    </xf>
    <xf numFmtId="0" fontId="15" fillId="10" borderId="0" xfId="0" applyFont="1" applyFill="1" applyAlignment="1">
      <alignment vertical="top" wrapText="1"/>
    </xf>
    <xf numFmtId="0" fontId="14" fillId="10" borderId="0" xfId="0" applyFont="1" applyFill="1" applyAlignment="1">
      <alignment horizontal="left" vertical="top" wrapText="1"/>
    </xf>
    <xf numFmtId="0" fontId="3" fillId="10" borderId="0" xfId="0" applyFont="1" applyFill="1" applyAlignment="1">
      <alignment horizontal="left" vertical="top" wrapText="1"/>
    </xf>
    <xf numFmtId="49" fontId="3" fillId="10" borderId="0" xfId="0" applyNumberFormat="1" applyFont="1" applyFill="1" applyAlignment="1">
      <alignment horizontal="left" vertical="top" wrapText="1"/>
    </xf>
    <xf numFmtId="49" fontId="3" fillId="0" borderId="0" xfId="0" applyNumberFormat="1" applyFont="1" applyAlignment="1">
      <alignment horizontal="left" vertical="top" wrapText="1"/>
    </xf>
    <xf numFmtId="0" fontId="3" fillId="0" borderId="0" xfId="0" applyFont="1" applyAlignment="1">
      <alignment horizontal="left" vertical="top"/>
    </xf>
    <xf numFmtId="0" fontId="16" fillId="9" borderId="0" xfId="0" applyFont="1" applyFill="1" applyAlignment="1">
      <alignment vertical="top"/>
    </xf>
    <xf numFmtId="0" fontId="16" fillId="10" borderId="0" xfId="0" applyFont="1" applyFill="1" applyAlignment="1">
      <alignment vertical="top"/>
    </xf>
    <xf numFmtId="0" fontId="17" fillId="9" borderId="0" xfId="0" applyFont="1" applyFill="1" applyAlignment="1">
      <alignment horizontal="left" vertical="center"/>
    </xf>
    <xf numFmtId="0" fontId="17" fillId="6" borderId="0" xfId="0" applyFont="1" applyFill="1" applyAlignment="1">
      <alignment horizontal="left" vertical="center" wrapText="1"/>
    </xf>
    <xf numFmtId="0" fontId="17" fillId="9" borderId="0" xfId="0" applyFont="1" applyFill="1" applyAlignment="1">
      <alignment horizontal="left" vertical="center" wrapText="1"/>
    </xf>
    <xf numFmtId="49" fontId="17" fillId="6" borderId="0" xfId="0" applyNumberFormat="1" applyFont="1" applyFill="1" applyAlignment="1">
      <alignment horizontal="left" vertical="center" wrapText="1"/>
    </xf>
    <xf numFmtId="49" fontId="17" fillId="9" borderId="0" xfId="0" applyNumberFormat="1" applyFont="1" applyFill="1" applyAlignment="1">
      <alignment horizontal="left" vertical="center" wrapText="1"/>
    </xf>
    <xf numFmtId="0" fontId="17" fillId="0" borderId="0" xfId="0" applyFont="1" applyAlignment="1">
      <alignment horizontal="left" vertical="center" wrapText="1"/>
    </xf>
    <xf numFmtId="0" fontId="17" fillId="10" borderId="0" xfId="0" applyFont="1" applyFill="1" applyAlignment="1">
      <alignment horizontal="left" vertical="center"/>
    </xf>
    <xf numFmtId="0" fontId="17" fillId="10" borderId="0" xfId="0" applyFont="1" applyFill="1" applyAlignment="1">
      <alignment horizontal="left" vertical="center" wrapText="1"/>
    </xf>
    <xf numFmtId="49" fontId="17" fillId="10" borderId="0" xfId="0" applyNumberFormat="1" applyFont="1" applyFill="1" applyAlignment="1">
      <alignment horizontal="left" vertical="center" wrapText="1"/>
    </xf>
    <xf numFmtId="0" fontId="19" fillId="12" borderId="30" xfId="0" applyFont="1" applyFill="1" applyBorder="1" applyAlignment="1">
      <alignment horizontal="center" vertical="center" wrapText="1"/>
    </xf>
    <xf numFmtId="0" fontId="19" fillId="12" borderId="31" xfId="0" applyFont="1" applyFill="1" applyBorder="1" applyAlignment="1">
      <alignment horizontal="center" vertical="center" wrapText="1"/>
    </xf>
    <xf numFmtId="0" fontId="18" fillId="0" borderId="0" xfId="0" applyFont="1" applyAlignment="1">
      <alignment vertical="center" wrapText="1"/>
    </xf>
    <xf numFmtId="0" fontId="13" fillId="9" borderId="0" xfId="0" applyFont="1" applyFill="1" applyAlignment="1">
      <alignment horizontal="center" vertical="top"/>
    </xf>
    <xf numFmtId="49" fontId="14" fillId="13" borderId="0" xfId="0" applyNumberFormat="1" applyFont="1" applyFill="1" applyAlignment="1">
      <alignment horizontal="left" vertical="top" wrapText="1"/>
    </xf>
    <xf numFmtId="0" fontId="13" fillId="13" borderId="0" xfId="0" applyFont="1" applyFill="1" applyAlignment="1">
      <alignment vertical="top"/>
    </xf>
    <xf numFmtId="0" fontId="17" fillId="14" borderId="0" xfId="0" applyFont="1" applyFill="1" applyAlignment="1">
      <alignment horizontal="left" vertical="center" wrapText="1"/>
    </xf>
    <xf numFmtId="0" fontId="13" fillId="10" borderId="0" xfId="0" applyFont="1" applyFill="1" applyAlignment="1">
      <alignment vertical="top"/>
    </xf>
    <xf numFmtId="0" fontId="13" fillId="10" borderId="0" xfId="0" applyFont="1" applyFill="1" applyAlignment="1">
      <alignment horizontal="center" vertical="top"/>
    </xf>
    <xf numFmtId="0" fontId="3" fillId="15" borderId="0" xfId="0" applyFont="1" applyFill="1" applyAlignment="1">
      <alignment horizontal="left" vertical="top"/>
    </xf>
    <xf numFmtId="0" fontId="12" fillId="15" borderId="0" xfId="0" applyFont="1" applyFill="1" applyAlignment="1">
      <alignment horizontal="left" vertical="top" wrapText="1"/>
    </xf>
    <xf numFmtId="0" fontId="3" fillId="15" borderId="0" xfId="0" applyFont="1" applyFill="1" applyAlignment="1">
      <alignment horizontal="left" vertical="top" wrapText="1"/>
    </xf>
    <xf numFmtId="49" fontId="3" fillId="15" borderId="0" xfId="0" applyNumberFormat="1" applyFont="1" applyFill="1" applyAlignment="1">
      <alignment horizontal="left" vertical="top" wrapText="1"/>
    </xf>
    <xf numFmtId="0" fontId="14" fillId="15" borderId="0" xfId="0" applyFont="1" applyFill="1" applyAlignment="1">
      <alignment horizontal="left" vertical="top" wrapText="1"/>
    </xf>
    <xf numFmtId="49" fontId="14" fillId="15" borderId="0" xfId="0" applyNumberFormat="1" applyFont="1" applyFill="1" applyAlignment="1">
      <alignment horizontal="left" vertical="top" wrapText="1"/>
    </xf>
    <xf numFmtId="0" fontId="15" fillId="15" borderId="0" xfId="0" applyFont="1" applyFill="1" applyAlignment="1">
      <alignment vertical="top" wrapText="1"/>
    </xf>
    <xf numFmtId="0" fontId="13" fillId="15" borderId="0" xfId="0" applyFont="1" applyFill="1" applyAlignment="1">
      <alignment vertical="top"/>
    </xf>
    <xf numFmtId="0" fontId="16" fillId="15" borderId="0" xfId="0" applyFont="1" applyFill="1" applyAlignment="1">
      <alignment vertical="top"/>
    </xf>
    <xf numFmtId="0" fontId="13" fillId="15" borderId="0" xfId="0" applyFont="1" applyFill="1" applyAlignment="1">
      <alignment horizontal="center" vertical="top"/>
    </xf>
    <xf numFmtId="0" fontId="17" fillId="15" borderId="0" xfId="0" applyFont="1" applyFill="1" applyAlignment="1">
      <alignment horizontal="left" vertical="center"/>
    </xf>
    <xf numFmtId="49" fontId="17" fillId="15" borderId="0" xfId="0" applyNumberFormat="1" applyFont="1" applyFill="1" applyAlignment="1">
      <alignment horizontal="left" vertical="center" wrapText="1"/>
    </xf>
    <xf numFmtId="0" fontId="17" fillId="16" borderId="0" xfId="0" applyFont="1" applyFill="1" applyAlignment="1">
      <alignment horizontal="left" vertical="center" wrapText="1"/>
    </xf>
    <xf numFmtId="0" fontId="17" fillId="15" borderId="0" xfId="0" applyFont="1" applyFill="1" applyAlignment="1">
      <alignment horizontal="left" vertical="center" wrapText="1"/>
    </xf>
    <xf numFmtId="0" fontId="12" fillId="15" borderId="0" xfId="0" applyFont="1" applyFill="1" applyAlignment="1">
      <alignment horizontal="center" vertical="center" wrapText="1"/>
    </xf>
    <xf numFmtId="0" fontId="13" fillId="0" borderId="0" xfId="0" applyFont="1" applyAlignment="1">
      <alignment vertical="top"/>
    </xf>
    <xf numFmtId="0" fontId="16" fillId="0" borderId="0" xfId="0" applyFont="1" applyAlignment="1">
      <alignment vertical="top"/>
    </xf>
    <xf numFmtId="0" fontId="13" fillId="0" borderId="0" xfId="0" applyFont="1" applyAlignment="1">
      <alignment horizontal="center" vertical="top"/>
    </xf>
    <xf numFmtId="0" fontId="14" fillId="0" borderId="22" xfId="0" applyFont="1" applyBorder="1" applyAlignment="1">
      <alignment horizontal="left" vertical="top" wrapText="1"/>
    </xf>
    <xf numFmtId="0" fontId="14" fillId="0" borderId="17" xfId="0" applyFont="1" applyBorder="1" applyAlignment="1">
      <alignment horizontal="left" vertical="top" wrapText="1"/>
    </xf>
    <xf numFmtId="0" fontId="14" fillId="0" borderId="26" xfId="0" applyFont="1" applyBorder="1" applyAlignment="1">
      <alignment horizontal="left" vertical="top" wrapText="1"/>
    </xf>
    <xf numFmtId="49" fontId="14" fillId="0" borderId="18" xfId="0" applyNumberFormat="1" applyFont="1" applyBorder="1" applyAlignment="1">
      <alignment horizontal="left" vertical="top" wrapText="1"/>
    </xf>
    <xf numFmtId="49" fontId="14" fillId="0" borderId="22" xfId="0" applyNumberFormat="1" applyFont="1" applyBorder="1" applyAlignment="1">
      <alignment horizontal="left" vertical="top" wrapText="1"/>
    </xf>
    <xf numFmtId="0" fontId="14" fillId="0" borderId="20" xfId="0" applyFont="1" applyBorder="1" applyAlignment="1">
      <alignment horizontal="left" vertical="top" wrapText="1"/>
    </xf>
    <xf numFmtId="49" fontId="14" fillId="0" borderId="20" xfId="0" applyNumberFormat="1" applyFont="1" applyBorder="1" applyAlignment="1">
      <alignment horizontal="left" vertical="top" wrapText="1"/>
    </xf>
    <xf numFmtId="0" fontId="14" fillId="0" borderId="18" xfId="0" applyFont="1" applyBorder="1" applyAlignment="1" applyProtection="1">
      <alignment horizontal="left" vertical="top" wrapText="1"/>
      <protection locked="0"/>
    </xf>
    <xf numFmtId="49" fontId="14" fillId="0" borderId="18" xfId="0" applyNumberFormat="1" applyFont="1" applyBorder="1" applyAlignment="1" applyProtection="1">
      <alignment horizontal="left" vertical="top" wrapText="1"/>
      <protection locked="0"/>
    </xf>
    <xf numFmtId="0" fontId="14" fillId="6" borderId="26" xfId="0" applyFont="1" applyFill="1" applyBorder="1" applyAlignment="1" applyProtection="1">
      <alignment horizontal="left" vertical="top" wrapText="1"/>
      <protection locked="0"/>
    </xf>
    <xf numFmtId="49" fontId="14" fillId="6" borderId="18" xfId="0" applyNumberFormat="1" applyFont="1" applyFill="1" applyBorder="1" applyAlignment="1" applyProtection="1">
      <alignment horizontal="left" vertical="top" wrapText="1"/>
      <protection locked="0"/>
    </xf>
    <xf numFmtId="0" fontId="14" fillId="9" borderId="0" xfId="0" applyFont="1" applyFill="1" applyAlignment="1" applyProtection="1">
      <alignment horizontal="left" vertical="top" wrapText="1"/>
      <protection locked="0"/>
    </xf>
    <xf numFmtId="0" fontId="14" fillId="0" borderId="23" xfId="0" applyFont="1" applyBorder="1" applyAlignment="1" applyProtection="1">
      <alignment horizontal="left" vertical="top" wrapText="1"/>
      <protection locked="0"/>
    </xf>
    <xf numFmtId="49" fontId="14" fillId="0" borderId="23" xfId="0" applyNumberFormat="1" applyFont="1" applyBorder="1" applyAlignment="1" applyProtection="1">
      <alignment horizontal="left" vertical="top" wrapText="1"/>
      <protection locked="0"/>
    </xf>
    <xf numFmtId="0" fontId="14" fillId="14" borderId="23" xfId="0" applyFont="1" applyFill="1" applyBorder="1" applyAlignment="1" applyProtection="1">
      <alignment horizontal="left" vertical="top" wrapText="1"/>
      <protection locked="0"/>
    </xf>
    <xf numFmtId="49" fontId="14" fillId="14" borderId="23" xfId="0" applyNumberFormat="1" applyFont="1" applyFill="1" applyBorder="1" applyAlignment="1" applyProtection="1">
      <alignment horizontal="left" vertical="top" wrapText="1"/>
      <protection locked="0"/>
    </xf>
    <xf numFmtId="0" fontId="14" fillId="10" borderId="0" xfId="0" applyFont="1" applyFill="1" applyAlignment="1" applyProtection="1">
      <alignment horizontal="left" vertical="top" wrapText="1"/>
      <protection locked="0"/>
    </xf>
    <xf numFmtId="0" fontId="14" fillId="0" borderId="21" xfId="0" applyFont="1" applyBorder="1" applyAlignment="1" applyProtection="1">
      <alignment horizontal="left" vertical="top" wrapText="1"/>
      <protection locked="0"/>
    </xf>
    <xf numFmtId="49" fontId="14" fillId="0" borderId="21" xfId="0" applyNumberFormat="1" applyFont="1" applyBorder="1" applyAlignment="1" applyProtection="1">
      <alignment horizontal="left" vertical="top" wrapText="1"/>
      <protection locked="0"/>
    </xf>
    <xf numFmtId="0" fontId="14" fillId="16" borderId="21" xfId="0" applyFont="1" applyFill="1" applyBorder="1" applyAlignment="1" applyProtection="1">
      <alignment horizontal="left" vertical="top" wrapText="1"/>
      <protection locked="0"/>
    </xf>
    <xf numFmtId="49" fontId="14" fillId="16" borderId="21" xfId="0" applyNumberFormat="1" applyFont="1" applyFill="1" applyBorder="1" applyAlignment="1" applyProtection="1">
      <alignment horizontal="left" vertical="top" wrapText="1"/>
      <protection locked="0"/>
    </xf>
    <xf numFmtId="0" fontId="14" fillId="15" borderId="0" xfId="0" applyFont="1" applyFill="1" applyAlignment="1" applyProtection="1">
      <alignment horizontal="left" vertical="top" wrapText="1"/>
      <protection locked="0"/>
    </xf>
    <xf numFmtId="49" fontId="5" fillId="0" borderId="3" xfId="0" applyNumberFormat="1" applyFont="1" applyBorder="1" applyAlignment="1" applyProtection="1">
      <alignment horizontal="left" wrapText="1"/>
      <protection locked="0"/>
    </xf>
    <xf numFmtId="0" fontId="5" fillId="2" borderId="0" xfId="0" applyFont="1" applyFill="1" applyAlignment="1" applyProtection="1">
      <alignment horizontal="left" vertical="top"/>
      <protection locked="0"/>
    </xf>
    <xf numFmtId="14" fontId="5" fillId="2" borderId="0" xfId="0" applyNumberFormat="1" applyFont="1" applyFill="1" applyAlignment="1" applyProtection="1">
      <alignment horizontal="left" vertical="top"/>
      <protection locked="0"/>
    </xf>
    <xf numFmtId="0" fontId="19" fillId="12" borderId="27" xfId="0" applyFont="1" applyFill="1" applyBorder="1" applyAlignment="1">
      <alignment vertical="center" wrapText="1"/>
    </xf>
    <xf numFmtId="0" fontId="19" fillId="12" borderId="34" xfId="0" applyFont="1" applyFill="1" applyBorder="1" applyAlignment="1">
      <alignment horizontal="center" vertical="center" wrapText="1"/>
    </xf>
    <xf numFmtId="0" fontId="2" fillId="0" borderId="31" xfId="0" applyFont="1" applyBorder="1" applyAlignment="1">
      <alignment vertical="center" wrapText="1"/>
    </xf>
    <xf numFmtId="0" fontId="2" fillId="0" borderId="33" xfId="0" applyFont="1" applyBorder="1" applyAlignment="1">
      <alignment vertical="center" wrapText="1"/>
    </xf>
    <xf numFmtId="0" fontId="2" fillId="0" borderId="32" xfId="0" applyFont="1" applyBorder="1" applyAlignment="1">
      <alignment vertical="center" wrapText="1"/>
    </xf>
    <xf numFmtId="0" fontId="5" fillId="2" borderId="0" xfId="0" applyFont="1" applyFill="1" applyAlignment="1">
      <alignment horizontal="center" vertical="top"/>
    </xf>
    <xf numFmtId="0" fontId="8" fillId="6" borderId="14" xfId="0" applyFont="1" applyFill="1" applyBorder="1"/>
    <xf numFmtId="0" fontId="8" fillId="4" borderId="4" xfId="0" applyFont="1" applyFill="1" applyBorder="1" applyAlignment="1">
      <alignment vertical="top"/>
    </xf>
    <xf numFmtId="0" fontId="17" fillId="6" borderId="0" xfId="0" applyFont="1" applyFill="1" applyAlignment="1">
      <alignment horizontal="center" vertical="center" wrapText="1"/>
    </xf>
    <xf numFmtId="0" fontId="8" fillId="3" borderId="3" xfId="0" applyFont="1" applyFill="1" applyBorder="1"/>
    <xf numFmtId="0" fontId="19" fillId="17" borderId="30" xfId="0" applyFont="1" applyFill="1" applyBorder="1" applyAlignment="1">
      <alignment vertical="center" wrapText="1"/>
    </xf>
    <xf numFmtId="0" fontId="14" fillId="6" borderId="49" xfId="0" applyFont="1" applyFill="1" applyBorder="1" applyAlignment="1">
      <alignment horizontal="left" vertical="top" wrapText="1"/>
    </xf>
    <xf numFmtId="0" fontId="3" fillId="0" borderId="0" xfId="0" applyFont="1"/>
    <xf numFmtId="0" fontId="14" fillId="6" borderId="48" xfId="0" applyFont="1" applyFill="1" applyBorder="1" applyAlignment="1">
      <alignment horizontal="left" vertical="top" wrapText="1"/>
    </xf>
    <xf numFmtId="49" fontId="14" fillId="6" borderId="48" xfId="0" applyNumberFormat="1" applyFont="1" applyFill="1" applyBorder="1" applyAlignment="1">
      <alignment horizontal="left" vertical="top" wrapText="1"/>
    </xf>
    <xf numFmtId="0" fontId="12" fillId="6" borderId="19" xfId="0" applyFont="1" applyFill="1" applyBorder="1" applyAlignment="1">
      <alignment horizontal="center" vertical="center" wrapText="1"/>
    </xf>
    <xf numFmtId="0" fontId="5" fillId="0" borderId="7" xfId="0" applyFont="1" applyBorder="1" applyAlignment="1" applyProtection="1">
      <alignment horizontal="left" vertical="top" wrapText="1"/>
      <protection locked="0"/>
    </xf>
    <xf numFmtId="0" fontId="5" fillId="0" borderId="15" xfId="0" applyFont="1" applyBorder="1" applyAlignment="1" applyProtection="1">
      <alignment horizontal="left" vertical="top" wrapText="1"/>
      <protection locked="0"/>
    </xf>
    <xf numFmtId="14" fontId="22" fillId="2" borderId="50" xfId="0" applyNumberFormat="1" applyFont="1" applyFill="1" applyBorder="1" applyAlignment="1" applyProtection="1">
      <alignment horizontal="left" vertical="top"/>
      <protection locked="0"/>
    </xf>
    <xf numFmtId="14" fontId="22" fillId="2" borderId="52" xfId="0" applyNumberFormat="1" applyFont="1" applyFill="1" applyBorder="1" applyAlignment="1" applyProtection="1">
      <alignment horizontal="left" vertical="top"/>
      <protection locked="0"/>
    </xf>
    <xf numFmtId="0" fontId="6" fillId="8" borderId="0" xfId="0" applyFont="1" applyFill="1" applyAlignment="1">
      <alignment horizontal="left" wrapText="1"/>
    </xf>
    <xf numFmtId="0" fontId="6" fillId="8" borderId="0" xfId="0" applyFont="1" applyFill="1" applyAlignment="1">
      <alignment horizontal="left"/>
    </xf>
    <xf numFmtId="0" fontId="23" fillId="3" borderId="0" xfId="0" applyFont="1" applyFill="1" applyAlignment="1">
      <alignment horizontal="center" wrapText="1"/>
    </xf>
    <xf numFmtId="0" fontId="8" fillId="3" borderId="0" xfId="0" applyFont="1" applyFill="1" applyAlignment="1">
      <alignment horizontal="center"/>
    </xf>
    <xf numFmtId="0" fontId="8" fillId="6" borderId="3" xfId="0" applyFont="1" applyFill="1" applyBorder="1" applyAlignment="1" applyProtection="1">
      <alignment horizontal="left" vertical="top" wrapText="1"/>
      <protection locked="0"/>
    </xf>
    <xf numFmtId="0" fontId="12" fillId="6" borderId="3" xfId="0" applyFont="1" applyFill="1" applyBorder="1" applyAlignment="1">
      <alignment horizontal="left" vertical="top" wrapText="1"/>
    </xf>
    <xf numFmtId="0" fontId="8" fillId="4" borderId="50" xfId="0" applyFont="1" applyFill="1" applyBorder="1" applyAlignment="1">
      <alignment horizontal="left" vertical="top"/>
    </xf>
    <xf numFmtId="0" fontId="8" fillId="4" borderId="51" xfId="0" applyFont="1" applyFill="1" applyBorder="1" applyAlignment="1">
      <alignment horizontal="left" vertical="top"/>
    </xf>
    <xf numFmtId="0" fontId="8" fillId="4" borderId="52" xfId="0" applyFont="1" applyFill="1" applyBorder="1" applyAlignment="1">
      <alignment horizontal="left" vertical="top"/>
    </xf>
    <xf numFmtId="0" fontId="5" fillId="2" borderId="6" xfId="0" applyFont="1" applyFill="1" applyBorder="1" applyAlignment="1" applyProtection="1">
      <alignment horizontal="center" vertical="top"/>
      <protection locked="0"/>
    </xf>
    <xf numFmtId="0" fontId="8" fillId="4" borderId="12" xfId="0" applyFont="1" applyFill="1" applyBorder="1" applyAlignment="1">
      <alignment horizontal="left" vertical="top"/>
    </xf>
    <xf numFmtId="0" fontId="8" fillId="4" borderId="16" xfId="0" applyFont="1" applyFill="1" applyBorder="1" applyAlignment="1">
      <alignment horizontal="left" vertical="top"/>
    </xf>
    <xf numFmtId="0" fontId="8" fillId="4" borderId="13" xfId="0" applyFont="1" applyFill="1" applyBorder="1" applyAlignment="1">
      <alignment horizontal="left" vertical="top"/>
    </xf>
    <xf numFmtId="14" fontId="22" fillId="2" borderId="12" xfId="0" applyNumberFormat="1" applyFont="1" applyFill="1" applyBorder="1" applyAlignment="1" applyProtection="1">
      <alignment horizontal="left" vertical="top"/>
      <protection locked="0"/>
    </xf>
    <xf numFmtId="14" fontId="22" fillId="2" borderId="13" xfId="0" applyNumberFormat="1" applyFont="1" applyFill="1" applyBorder="1" applyAlignment="1" applyProtection="1">
      <alignment horizontal="left" vertical="top"/>
      <protection locked="0"/>
    </xf>
    <xf numFmtId="0" fontId="8" fillId="6" borderId="12" xfId="0" applyFont="1" applyFill="1" applyBorder="1" applyAlignment="1">
      <alignment horizontal="left" vertical="top"/>
    </xf>
    <xf numFmtId="0" fontId="8" fillId="6" borderId="16" xfId="0" applyFont="1" applyFill="1" applyBorder="1" applyAlignment="1">
      <alignment horizontal="left" vertical="top"/>
    </xf>
    <xf numFmtId="0" fontId="8" fillId="6" borderId="13" xfId="0" applyFont="1" applyFill="1" applyBorder="1" applyAlignment="1">
      <alignment horizontal="left" vertical="top"/>
    </xf>
    <xf numFmtId="49" fontId="5" fillId="0" borderId="4" xfId="0" applyNumberFormat="1" applyFont="1" applyBorder="1" applyAlignment="1" applyProtection="1">
      <alignment vertical="top"/>
      <protection locked="0"/>
    </xf>
    <xf numFmtId="0" fontId="5" fillId="2" borderId="5" xfId="0" applyFont="1" applyFill="1" applyBorder="1" applyAlignment="1" applyProtection="1">
      <alignment horizontal="center" vertical="top"/>
      <protection locked="0"/>
    </xf>
    <xf numFmtId="0" fontId="5" fillId="0" borderId="12" xfId="0" applyFont="1" applyBorder="1" applyAlignment="1" applyProtection="1">
      <alignment horizontal="left" vertical="top" wrapText="1"/>
      <protection locked="0"/>
    </xf>
    <xf numFmtId="0" fontId="0" fillId="0" borderId="16" xfId="0" applyBorder="1" applyAlignment="1" applyProtection="1">
      <alignment horizontal="left" vertical="top" wrapText="1"/>
      <protection locked="0"/>
    </xf>
    <xf numFmtId="0" fontId="8" fillId="6" borderId="8" xfId="0" applyFont="1" applyFill="1" applyBorder="1" applyAlignment="1">
      <alignment horizontal="left"/>
    </xf>
    <xf numFmtId="0" fontId="8" fillId="6" borderId="10" xfId="0" applyFont="1" applyFill="1" applyBorder="1" applyAlignment="1">
      <alignment horizontal="left"/>
    </xf>
    <xf numFmtId="0" fontId="8" fillId="6" borderId="47" xfId="0" applyFont="1" applyFill="1" applyBorder="1" applyAlignment="1">
      <alignment horizontal="left"/>
    </xf>
    <xf numFmtId="0" fontId="8" fillId="6" borderId="7" xfId="0" applyFont="1" applyFill="1" applyBorder="1" applyAlignment="1">
      <alignment horizontal="left"/>
    </xf>
    <xf numFmtId="0" fontId="8" fillId="6" borderId="14" xfId="0" applyFont="1" applyFill="1" applyBorder="1" applyAlignment="1">
      <alignment horizontal="left"/>
    </xf>
    <xf numFmtId="0" fontId="8" fillId="6" borderId="15" xfId="0" applyFont="1" applyFill="1" applyBorder="1" applyAlignment="1">
      <alignment horizontal="left"/>
    </xf>
    <xf numFmtId="14" fontId="5" fillId="0" borderId="12" xfId="0" applyNumberFormat="1" applyFont="1" applyBorder="1" applyAlignment="1" applyProtection="1">
      <alignment horizontal="left" vertical="top"/>
      <protection locked="0"/>
    </xf>
    <xf numFmtId="14" fontId="5" fillId="0" borderId="13" xfId="0" applyNumberFormat="1" applyFont="1" applyBorder="1" applyAlignment="1" applyProtection="1">
      <alignment horizontal="left" vertical="top"/>
      <protection locked="0"/>
    </xf>
    <xf numFmtId="49" fontId="5" fillId="0" borderId="7" xfId="0" applyNumberFormat="1" applyFont="1" applyBorder="1" applyAlignment="1" applyProtection="1">
      <alignment horizontal="left" wrapText="1"/>
      <protection locked="0"/>
    </xf>
    <xf numFmtId="49" fontId="5" fillId="0" borderId="15" xfId="0" applyNumberFormat="1" applyFont="1" applyBorder="1" applyAlignment="1" applyProtection="1">
      <alignment horizontal="left" wrapText="1"/>
      <protection locked="0"/>
    </xf>
    <xf numFmtId="0" fontId="8" fillId="4" borderId="12" xfId="0" applyFont="1" applyFill="1" applyBorder="1" applyAlignment="1">
      <alignment vertical="top"/>
    </xf>
    <xf numFmtId="0" fontId="8" fillId="4" borderId="13" xfId="0" applyFont="1" applyFill="1" applyBorder="1" applyAlignment="1">
      <alignment vertical="top"/>
    </xf>
    <xf numFmtId="0" fontId="8" fillId="4" borderId="4" xfId="0" applyFont="1" applyFill="1" applyBorder="1" applyAlignment="1">
      <alignment vertical="top"/>
    </xf>
    <xf numFmtId="0" fontId="5" fillId="6" borderId="11" xfId="0" applyFont="1" applyFill="1" applyBorder="1" applyAlignment="1">
      <alignment horizontal="center"/>
    </xf>
    <xf numFmtId="0" fontId="5" fillId="6" borderId="1" xfId="0" applyFont="1" applyFill="1" applyBorder="1" applyAlignment="1">
      <alignment horizontal="center"/>
    </xf>
    <xf numFmtId="0" fontId="5" fillId="6" borderId="9" xfId="0" applyFont="1" applyFill="1" applyBorder="1" applyAlignment="1">
      <alignment horizontal="center"/>
    </xf>
    <xf numFmtId="0" fontId="5" fillId="6" borderId="2" xfId="0" applyFont="1" applyFill="1" applyBorder="1" applyAlignment="1">
      <alignment horizontal="center"/>
    </xf>
    <xf numFmtId="0" fontId="8" fillId="2" borderId="7" xfId="0" applyFont="1" applyFill="1" applyBorder="1" applyAlignment="1">
      <alignment horizontal="left" vertical="top"/>
    </xf>
    <xf numFmtId="0" fontId="8" fillId="2" borderId="15" xfId="0" applyFont="1" applyFill="1" applyBorder="1" applyAlignment="1">
      <alignment horizontal="left" vertical="top"/>
    </xf>
    <xf numFmtId="0" fontId="5" fillId="0" borderId="3" xfId="0" applyFont="1" applyBorder="1" applyAlignment="1" applyProtection="1">
      <alignment horizontal="left" vertical="top"/>
      <protection locked="0"/>
    </xf>
    <xf numFmtId="0" fontId="0" fillId="0" borderId="3" xfId="0" applyBorder="1" applyAlignment="1" applyProtection="1">
      <alignment horizontal="left" vertical="top"/>
      <protection locked="0"/>
    </xf>
    <xf numFmtId="0" fontId="5" fillId="2" borderId="12" xfId="0" applyFont="1" applyFill="1" applyBorder="1" applyAlignment="1" applyProtection="1">
      <alignment horizontal="left" vertical="top" wrapText="1"/>
      <protection locked="0"/>
    </xf>
    <xf numFmtId="0" fontId="5" fillId="2" borderId="13" xfId="0" applyFont="1" applyFill="1" applyBorder="1" applyAlignment="1" applyProtection="1">
      <alignment horizontal="left" vertical="top" wrapText="1"/>
      <protection locked="0"/>
    </xf>
    <xf numFmtId="14" fontId="5" fillId="2" borderId="12" xfId="0" applyNumberFormat="1" applyFont="1" applyFill="1" applyBorder="1" applyAlignment="1" applyProtection="1">
      <alignment horizontal="left" vertical="top" wrapText="1"/>
      <protection locked="0"/>
    </xf>
    <xf numFmtId="14" fontId="5" fillId="2" borderId="13" xfId="0" applyNumberFormat="1" applyFont="1" applyFill="1" applyBorder="1" applyAlignment="1" applyProtection="1">
      <alignment horizontal="left" vertical="top" wrapText="1"/>
      <protection locked="0"/>
    </xf>
    <xf numFmtId="49" fontId="5" fillId="2" borderId="12" xfId="0" applyNumberFormat="1" applyFont="1" applyFill="1" applyBorder="1" applyAlignment="1" applyProtection="1">
      <alignment horizontal="left" vertical="top" wrapText="1"/>
      <protection locked="0"/>
    </xf>
    <xf numFmtId="49" fontId="5" fillId="2" borderId="16" xfId="0" applyNumberFormat="1" applyFont="1" applyFill="1" applyBorder="1" applyAlignment="1" applyProtection="1">
      <alignment horizontal="left" vertical="top" wrapText="1"/>
      <protection locked="0"/>
    </xf>
    <xf numFmtId="49" fontId="5" fillId="2" borderId="13" xfId="0" applyNumberFormat="1" applyFont="1" applyFill="1" applyBorder="1" applyAlignment="1" applyProtection="1">
      <alignment horizontal="left" vertical="top" wrapText="1"/>
      <protection locked="0"/>
    </xf>
    <xf numFmtId="14" fontId="5" fillId="2" borderId="4" xfId="0" applyNumberFormat="1" applyFont="1" applyFill="1" applyBorder="1" applyAlignment="1" applyProtection="1">
      <alignment horizontal="left" vertical="top" wrapText="1"/>
      <protection locked="0"/>
    </xf>
    <xf numFmtId="49" fontId="5" fillId="2" borderId="4" xfId="0" applyNumberFormat="1" applyFont="1" applyFill="1" applyBorder="1" applyAlignment="1" applyProtection="1">
      <alignment horizontal="left" vertical="top" wrapText="1"/>
      <protection locked="0"/>
    </xf>
    <xf numFmtId="14" fontId="5" fillId="2" borderId="16" xfId="0" applyNumberFormat="1" applyFont="1" applyFill="1" applyBorder="1" applyAlignment="1" applyProtection="1">
      <alignment horizontal="center" vertical="top" wrapText="1"/>
      <protection locked="0"/>
    </xf>
    <xf numFmtId="14" fontId="5" fillId="2" borderId="13" xfId="0" applyNumberFormat="1" applyFont="1" applyFill="1" applyBorder="1" applyAlignment="1" applyProtection="1">
      <alignment horizontal="center" vertical="top" wrapText="1"/>
      <protection locked="0"/>
    </xf>
    <xf numFmtId="49" fontId="5" fillId="2" borderId="12" xfId="0" applyNumberFormat="1" applyFont="1" applyFill="1" applyBorder="1" applyAlignment="1" applyProtection="1">
      <alignment horizontal="center" vertical="top" wrapText="1"/>
      <protection locked="0"/>
    </xf>
    <xf numFmtId="49" fontId="5" fillId="2" borderId="16" xfId="0" applyNumberFormat="1" applyFont="1" applyFill="1" applyBorder="1" applyAlignment="1" applyProtection="1">
      <alignment horizontal="center" vertical="top" wrapText="1"/>
      <protection locked="0"/>
    </xf>
    <xf numFmtId="49" fontId="5" fillId="2" borderId="13" xfId="0" applyNumberFormat="1" applyFont="1" applyFill="1" applyBorder="1" applyAlignment="1" applyProtection="1">
      <alignment horizontal="center" vertical="top" wrapText="1"/>
      <protection locked="0"/>
    </xf>
    <xf numFmtId="14" fontId="5" fillId="2" borderId="12" xfId="0" applyNumberFormat="1" applyFont="1" applyFill="1" applyBorder="1" applyAlignment="1" applyProtection="1">
      <alignment horizontal="center" vertical="top" wrapText="1"/>
      <protection locked="0"/>
    </xf>
    <xf numFmtId="14" fontId="5" fillId="2" borderId="16" xfId="0" applyNumberFormat="1" applyFont="1" applyFill="1" applyBorder="1" applyAlignment="1" applyProtection="1">
      <alignment horizontal="left" vertical="top" wrapText="1"/>
      <protection locked="0"/>
    </xf>
    <xf numFmtId="164" fontId="5" fillId="2" borderId="0" xfId="0" applyNumberFormat="1" applyFont="1" applyFill="1" applyAlignment="1" applyProtection="1">
      <alignment horizontal="left" vertical="top"/>
      <protection locked="0"/>
    </xf>
    <xf numFmtId="0" fontId="17" fillId="16" borderId="0" xfId="0" applyFont="1" applyFill="1" applyAlignment="1">
      <alignment horizontal="center" vertical="center" wrapText="1"/>
    </xf>
    <xf numFmtId="0" fontId="12" fillId="0" borderId="41" xfId="0" applyFont="1" applyBorder="1" applyAlignment="1">
      <alignment horizontal="center" vertical="center" wrapText="1"/>
    </xf>
    <xf numFmtId="0" fontId="12" fillId="0" borderId="25" xfId="0" applyFont="1" applyBorder="1" applyAlignment="1">
      <alignment horizontal="center" vertical="center" wrapText="1"/>
    </xf>
    <xf numFmtId="0" fontId="12" fillId="0" borderId="42" xfId="0" applyFont="1" applyBorder="1" applyAlignment="1">
      <alignment horizontal="center" vertical="center" wrapText="1"/>
    </xf>
    <xf numFmtId="0" fontId="17" fillId="14" borderId="0" xfId="0" applyFont="1" applyFill="1" applyAlignment="1">
      <alignment horizontal="center" vertical="center" wrapText="1"/>
    </xf>
    <xf numFmtId="0" fontId="12" fillId="0" borderId="43" xfId="0" applyFont="1" applyBorder="1" applyAlignment="1">
      <alignment horizontal="center" vertical="center" wrapText="1"/>
    </xf>
    <xf numFmtId="0" fontId="12" fillId="0" borderId="24" xfId="0" applyFont="1" applyBorder="1" applyAlignment="1">
      <alignment horizontal="center" vertical="center" wrapText="1"/>
    </xf>
    <xf numFmtId="0" fontId="12" fillId="0" borderId="44" xfId="0" applyFont="1" applyBorder="1" applyAlignment="1">
      <alignment horizontal="center" vertical="center" wrapText="1"/>
    </xf>
    <xf numFmtId="0" fontId="13" fillId="15" borderId="0" xfId="0" applyFont="1" applyFill="1" applyAlignment="1">
      <alignment horizontal="center" vertical="top"/>
    </xf>
    <xf numFmtId="0" fontId="12" fillId="0" borderId="38" xfId="0" applyFont="1" applyBorder="1" applyAlignment="1">
      <alignment horizontal="center" vertical="center" wrapText="1"/>
    </xf>
    <xf numFmtId="0" fontId="12" fillId="0" borderId="39" xfId="0" applyFont="1" applyBorder="1" applyAlignment="1">
      <alignment horizontal="center" vertical="center" wrapText="1"/>
    </xf>
    <xf numFmtId="0" fontId="12" fillId="0" borderId="40" xfId="0" applyFont="1" applyBorder="1" applyAlignment="1">
      <alignment horizontal="center" vertical="center" wrapText="1"/>
    </xf>
    <xf numFmtId="0" fontId="13" fillId="9" borderId="0" xfId="0" applyFont="1" applyFill="1" applyAlignment="1">
      <alignment horizontal="center" vertical="top"/>
    </xf>
    <xf numFmtId="0" fontId="17" fillId="6" borderId="0" xfId="0" applyFont="1" applyFill="1" applyAlignment="1">
      <alignment horizontal="center" vertical="center" wrapText="1"/>
    </xf>
    <xf numFmtId="0" fontId="12" fillId="0" borderId="19" xfId="0" applyFont="1" applyBorder="1" applyAlignment="1">
      <alignment horizontal="center" vertical="center" wrapText="1"/>
    </xf>
    <xf numFmtId="0" fontId="12" fillId="0" borderId="45" xfId="0" applyFont="1" applyBorder="1" applyAlignment="1">
      <alignment horizontal="center" vertical="center" wrapText="1"/>
    </xf>
    <xf numFmtId="0" fontId="12" fillId="0" borderId="46" xfId="0" applyFont="1" applyBorder="1" applyAlignment="1">
      <alignment horizontal="center" vertical="center" wrapText="1"/>
    </xf>
    <xf numFmtId="0" fontId="13" fillId="10" borderId="0" xfId="0" applyFont="1" applyFill="1" applyAlignment="1">
      <alignment horizontal="center" vertical="top"/>
    </xf>
    <xf numFmtId="0" fontId="2" fillId="0" borderId="34" xfId="0" applyFont="1" applyBorder="1" applyAlignment="1">
      <alignment vertical="center" wrapText="1"/>
    </xf>
    <xf numFmtId="0" fontId="2" fillId="0" borderId="30" xfId="0" applyFont="1" applyBorder="1" applyAlignment="1">
      <alignment vertical="center" wrapText="1"/>
    </xf>
    <xf numFmtId="0" fontId="19" fillId="12" borderId="34" xfId="0" applyFont="1" applyFill="1" applyBorder="1" applyAlignment="1">
      <alignment vertical="center" wrapText="1"/>
    </xf>
    <xf numFmtId="0" fontId="19" fillId="12" borderId="30" xfId="0" applyFont="1" applyFill="1" applyBorder="1" applyAlignment="1">
      <alignment vertical="center" wrapText="1"/>
    </xf>
    <xf numFmtId="0" fontId="19" fillId="12" borderId="34" xfId="0" applyFont="1" applyFill="1" applyBorder="1" applyAlignment="1">
      <alignment horizontal="justify" vertical="center" wrapText="1"/>
    </xf>
    <xf numFmtId="0" fontId="19" fillId="12" borderId="30" xfId="0" applyFont="1" applyFill="1" applyBorder="1" applyAlignment="1">
      <alignment horizontal="justify" vertical="center" wrapText="1"/>
    </xf>
    <xf numFmtId="0" fontId="19" fillId="12" borderId="32" xfId="0" applyFont="1" applyFill="1" applyBorder="1" applyAlignment="1">
      <alignment vertical="center" wrapText="1"/>
    </xf>
    <xf numFmtId="0" fontId="12" fillId="8" borderId="27" xfId="0" applyFont="1" applyFill="1" applyBorder="1" applyAlignment="1">
      <alignment horizontal="center" vertical="center"/>
    </xf>
    <xf numFmtId="0" fontId="12" fillId="8" borderId="28" xfId="0" applyFont="1" applyFill="1" applyBorder="1" applyAlignment="1">
      <alignment horizontal="center" vertical="center"/>
    </xf>
    <xf numFmtId="0" fontId="12" fillId="8" borderId="29" xfId="0" applyFont="1" applyFill="1" applyBorder="1" applyAlignment="1">
      <alignment horizontal="center" vertical="center"/>
    </xf>
    <xf numFmtId="0" fontId="2" fillId="0" borderId="37" xfId="0" applyFont="1" applyBorder="1" applyAlignment="1">
      <alignment vertical="center" wrapText="1"/>
    </xf>
    <xf numFmtId="0" fontId="2" fillId="0" borderId="31" xfId="0" applyFont="1" applyBorder="1" applyAlignment="1">
      <alignment vertical="center" wrapText="1"/>
    </xf>
    <xf numFmtId="0" fontId="12" fillId="11" borderId="28" xfId="0" applyFont="1" applyFill="1" applyBorder="1" applyAlignment="1">
      <alignment horizontal="center" vertical="center"/>
    </xf>
    <xf numFmtId="0" fontId="12" fillId="11" borderId="29" xfId="0" applyFont="1" applyFill="1" applyBorder="1" applyAlignment="1">
      <alignment horizontal="center" vertical="center"/>
    </xf>
    <xf numFmtId="0" fontId="2" fillId="0" borderId="35" xfId="0" applyFont="1" applyBorder="1" applyAlignment="1">
      <alignment horizontal="center" vertical="center" wrapText="1"/>
    </xf>
    <xf numFmtId="0" fontId="2" fillId="0" borderId="36" xfId="0" applyFont="1" applyBorder="1" applyAlignment="1">
      <alignment horizontal="center" vertical="center" wrapText="1"/>
    </xf>
    <xf numFmtId="0" fontId="2" fillId="0" borderId="37" xfId="0" applyFont="1" applyBorder="1" applyAlignment="1">
      <alignment horizontal="center" vertical="center" wrapText="1"/>
    </xf>
    <xf numFmtId="0" fontId="12" fillId="7" borderId="27" xfId="0" applyFont="1" applyFill="1" applyBorder="1" applyAlignment="1">
      <alignment horizontal="center" vertical="center"/>
    </xf>
    <xf numFmtId="0" fontId="12" fillId="7" borderId="28" xfId="0" applyFont="1" applyFill="1" applyBorder="1" applyAlignment="1">
      <alignment horizontal="center" vertical="center"/>
    </xf>
    <xf numFmtId="0" fontId="12" fillId="7" borderId="29" xfId="0" applyFont="1" applyFill="1" applyBorder="1" applyAlignment="1">
      <alignment horizontal="center" vertical="center"/>
    </xf>
    <xf numFmtId="0" fontId="19" fillId="17" borderId="34" xfId="0" applyFont="1" applyFill="1" applyBorder="1" applyAlignment="1">
      <alignment vertical="center" wrapText="1"/>
    </xf>
    <xf numFmtId="0" fontId="19" fillId="17" borderId="30" xfId="0" applyFont="1" applyFill="1" applyBorder="1" applyAlignment="1">
      <alignment vertical="center" wrapText="1"/>
    </xf>
  </cellXfs>
  <cellStyles count="3">
    <cellStyle name="Standard" xfId="0" builtinId="0"/>
    <cellStyle name="Standard 2" xfId="1" xr:uid="{00000000-0005-0000-0000-000001000000}"/>
    <cellStyle name="Standard 3" xfId="2" xr:uid="{00000000-0005-0000-0000-000002000000}"/>
  </cellStyles>
  <dxfs count="23">
    <dxf>
      <fill>
        <patternFill>
          <bgColor rgb="FFFFFF00"/>
        </patternFill>
      </fill>
    </dxf>
    <dxf>
      <fill>
        <patternFill>
          <bgColor rgb="FFFF0000"/>
        </patternFill>
      </fill>
    </dxf>
    <dxf>
      <fill>
        <patternFill>
          <bgColor rgb="FF92D050"/>
        </patternFill>
      </fill>
    </dxf>
    <dxf>
      <font>
        <strike val="0"/>
        <color theme="0"/>
      </font>
    </dxf>
    <dxf>
      <font>
        <color theme="0"/>
      </font>
    </dxf>
    <dxf>
      <fill>
        <patternFill>
          <bgColor rgb="FFFFFF00"/>
        </patternFill>
      </fill>
    </dxf>
    <dxf>
      <fill>
        <patternFill>
          <bgColor rgb="FFFF0000"/>
        </patternFill>
      </fill>
    </dxf>
    <dxf>
      <fill>
        <patternFill>
          <bgColor rgb="FF92D050"/>
        </patternFill>
      </fill>
    </dxf>
    <dxf>
      <font>
        <strike val="0"/>
        <color theme="0"/>
      </font>
    </dxf>
    <dxf>
      <font>
        <color theme="0"/>
      </font>
    </dxf>
    <dxf>
      <fill>
        <patternFill>
          <bgColor rgb="FFFFFF00"/>
        </patternFill>
      </fill>
    </dxf>
    <dxf>
      <fill>
        <patternFill>
          <bgColor rgb="FFFF0000"/>
        </patternFill>
      </fill>
    </dxf>
    <dxf>
      <fill>
        <patternFill>
          <bgColor rgb="FF92D050"/>
        </patternFill>
      </fill>
    </dxf>
    <dxf>
      <font>
        <strike val="0"/>
        <color theme="0"/>
      </font>
    </dxf>
    <dxf>
      <font>
        <color theme="0"/>
      </font>
    </dxf>
    <dxf>
      <fill>
        <patternFill>
          <bgColor theme="6" tint="0.59996337778862885"/>
        </patternFill>
      </fill>
    </dxf>
    <dxf>
      <fill>
        <patternFill>
          <bgColor theme="6" tint="0.59996337778862885"/>
        </patternFill>
      </fill>
    </dxf>
    <dxf>
      <fill>
        <patternFill>
          <bgColor theme="6" tint="0.59996337778862885"/>
        </patternFill>
      </fill>
    </dxf>
    <dxf>
      <fill>
        <patternFill>
          <bgColor rgb="FF92D050"/>
        </patternFill>
      </fill>
    </dxf>
    <dxf>
      <fill>
        <patternFill>
          <bgColor rgb="FFFFFF00"/>
        </patternFill>
      </fill>
    </dxf>
    <dxf>
      <font>
        <color theme="0"/>
      </font>
    </dxf>
    <dxf>
      <fill>
        <patternFill>
          <bgColor rgb="FFFF0000"/>
        </patternFill>
      </fill>
    </dxf>
    <dxf>
      <font>
        <color theme="0"/>
      </font>
    </dxf>
  </dxfs>
  <tableStyles count="0" defaultTableStyle="TableStyleMedium2" defaultPivotStyle="PivotStyleLight16"/>
  <colors>
    <mruColors>
      <color rgb="FFC0C0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2</xdr:col>
      <xdr:colOff>1814287</xdr:colOff>
      <xdr:row>3</xdr:row>
      <xdr:rowOff>81906</xdr:rowOff>
    </xdr:to>
    <xdr:pic>
      <xdr:nvPicPr>
        <xdr:cNvPr id="2" name="Grafik 1" descr="Ein Bild, das Text, Schrift, Screenshot, weiß enthält.&#10;&#10;Automatisch generierte Beschreibung">
          <a:extLst>
            <a:ext uri="{FF2B5EF4-FFF2-40B4-BE49-F238E27FC236}">
              <a16:creationId xmlns:a16="http://schemas.microsoft.com/office/drawing/2014/main" id="{253A3942-251F-BF40-AD61-05042D6B0F5E}"/>
            </a:ext>
          </a:extLst>
        </xdr:cNvPr>
        <xdr:cNvPicPr>
          <a:picLocks noChangeAspect="1"/>
        </xdr:cNvPicPr>
      </xdr:nvPicPr>
      <xdr:blipFill>
        <a:blip xmlns:r="http://schemas.openxmlformats.org/officeDocument/2006/relationships" r:embed="rId1"/>
        <a:stretch>
          <a:fillRect/>
        </a:stretch>
      </xdr:blipFill>
      <xdr:spPr>
        <a:xfrm>
          <a:off x="1" y="0"/>
          <a:ext cx="2385786" cy="653406"/>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7"/>
  <sheetViews>
    <sheetView tabSelected="1" zoomScale="140" zoomScaleNormal="140" workbookViewId="0">
      <selection sqref="A1:E4"/>
    </sheetView>
  </sheetViews>
  <sheetFormatPr baseColWidth="10" defaultColWidth="11.5" defaultRowHeight="15" x14ac:dyDescent="0.2"/>
  <cols>
    <col min="1" max="1" width="4.33203125" style="1" customWidth="1"/>
    <col min="2" max="2" width="3.1640625" style="1" customWidth="1"/>
    <col min="3" max="3" width="24.6640625" style="2" customWidth="1"/>
    <col min="4" max="4" width="4.1640625" style="2" customWidth="1"/>
    <col min="5" max="5" width="23.33203125" style="2" customWidth="1"/>
    <col min="6" max="6" width="1.33203125" style="2" customWidth="1"/>
    <col min="7" max="7" width="3" style="2" customWidth="1"/>
    <col min="8" max="8" width="30.5" style="2" customWidth="1"/>
    <col min="9" max="9" width="40.6640625" style="2" customWidth="1"/>
    <col min="10" max="10" width="1.6640625" style="2" hidden="1" customWidth="1"/>
    <col min="11" max="11" width="11.83203125" style="2" hidden="1" customWidth="1"/>
    <col min="12" max="16384" width="11.5" style="1"/>
  </cols>
  <sheetData>
    <row r="1" spans="1:11" x14ac:dyDescent="0.2">
      <c r="A1" s="127" t="s">
        <v>0</v>
      </c>
      <c r="B1" s="128"/>
      <c r="C1" s="128"/>
      <c r="D1" s="128"/>
      <c r="E1" s="128"/>
    </row>
    <row r="2" spans="1:11" x14ac:dyDescent="0.2">
      <c r="A2" s="128"/>
      <c r="B2" s="128"/>
      <c r="C2" s="128"/>
      <c r="D2" s="128"/>
      <c r="E2" s="128"/>
    </row>
    <row r="3" spans="1:11" x14ac:dyDescent="0.2">
      <c r="A3" s="128"/>
      <c r="B3" s="128"/>
      <c r="C3" s="128"/>
      <c r="D3" s="128"/>
      <c r="E3" s="128"/>
      <c r="H3" s="125" t="s">
        <v>169</v>
      </c>
      <c r="I3" s="126"/>
    </row>
    <row r="4" spans="1:11" ht="19" customHeight="1" x14ac:dyDescent="0.2">
      <c r="A4" s="128"/>
      <c r="B4" s="128"/>
      <c r="C4" s="128"/>
      <c r="D4" s="128"/>
      <c r="E4" s="128"/>
      <c r="F4" s="3"/>
      <c r="G4" s="3"/>
      <c r="H4" s="126"/>
      <c r="I4" s="126"/>
    </row>
    <row r="5" spans="1:11" x14ac:dyDescent="0.2">
      <c r="A5" s="131" t="s">
        <v>1</v>
      </c>
      <c r="B5" s="132"/>
      <c r="C5" s="133"/>
      <c r="D5" s="123" t="s">
        <v>170</v>
      </c>
      <c r="E5" s="124"/>
      <c r="H5" s="1"/>
      <c r="I5" s="1"/>
      <c r="J5" s="1"/>
      <c r="K5" s="1"/>
    </row>
    <row r="6" spans="1:11" x14ac:dyDescent="0.2">
      <c r="C6" s="4"/>
      <c r="D6" s="134"/>
      <c r="E6" s="134"/>
      <c r="F6" s="103"/>
      <c r="G6" s="103"/>
      <c r="H6" s="103"/>
      <c r="I6" s="103"/>
    </row>
    <row r="7" spans="1:11" x14ac:dyDescent="0.2">
      <c r="A7" s="135" t="s">
        <v>2</v>
      </c>
      <c r="B7" s="136"/>
      <c r="C7" s="137"/>
      <c r="D7" s="138" t="s">
        <v>171</v>
      </c>
      <c r="E7" s="139"/>
      <c r="F7" s="104"/>
      <c r="G7" s="104"/>
      <c r="H7" s="104"/>
      <c r="I7" s="103"/>
    </row>
    <row r="8" spans="1:11" x14ac:dyDescent="0.2">
      <c r="C8" s="4"/>
      <c r="D8" s="134"/>
      <c r="E8" s="134"/>
      <c r="F8" s="103"/>
      <c r="G8" s="103"/>
      <c r="H8" s="103"/>
      <c r="I8" s="103"/>
    </row>
    <row r="9" spans="1:11" x14ac:dyDescent="0.2">
      <c r="A9" s="140" t="s">
        <v>3</v>
      </c>
      <c r="B9" s="141"/>
      <c r="C9" s="142"/>
      <c r="D9" s="143" t="s">
        <v>4</v>
      </c>
      <c r="E9" s="143"/>
      <c r="F9" s="103"/>
      <c r="G9" s="103"/>
      <c r="H9" s="103"/>
      <c r="I9" s="103"/>
    </row>
    <row r="10" spans="1:11" x14ac:dyDescent="0.2">
      <c r="C10" s="6"/>
      <c r="D10" s="144"/>
      <c r="E10" s="144"/>
      <c r="F10" s="103"/>
      <c r="G10" s="103"/>
      <c r="H10" s="103"/>
      <c r="I10" s="103"/>
    </row>
    <row r="11" spans="1:11" x14ac:dyDescent="0.2">
      <c r="A11" s="135" t="s">
        <v>5</v>
      </c>
      <c r="B11" s="136"/>
      <c r="C11" s="137"/>
      <c r="D11" s="145" t="s">
        <v>6</v>
      </c>
      <c r="E11" s="146"/>
      <c r="F11" s="129" t="s">
        <v>7</v>
      </c>
      <c r="G11" s="130"/>
      <c r="H11" s="121"/>
      <c r="I11" s="122"/>
    </row>
    <row r="12" spans="1:11" x14ac:dyDescent="0.2">
      <c r="A12" s="135" t="s">
        <v>8</v>
      </c>
      <c r="B12" s="136"/>
      <c r="C12" s="137"/>
      <c r="D12" s="145" t="s">
        <v>6</v>
      </c>
      <c r="E12" s="146"/>
      <c r="F12" s="129" t="s">
        <v>7</v>
      </c>
      <c r="G12" s="130"/>
      <c r="H12" s="121"/>
      <c r="I12" s="122"/>
    </row>
    <row r="13" spans="1:11" x14ac:dyDescent="0.2">
      <c r="A13" s="135" t="s">
        <v>9</v>
      </c>
      <c r="B13" s="136"/>
      <c r="C13" s="137"/>
      <c r="D13" s="145" t="s">
        <v>6</v>
      </c>
      <c r="E13" s="146"/>
      <c r="F13" s="129" t="s">
        <v>7</v>
      </c>
      <c r="G13" s="130"/>
      <c r="H13" s="121"/>
      <c r="I13" s="122"/>
    </row>
    <row r="14" spans="1:11" x14ac:dyDescent="0.2">
      <c r="C14" s="4"/>
      <c r="D14" s="110"/>
      <c r="E14" s="110"/>
      <c r="F14" s="5"/>
      <c r="G14" s="5"/>
      <c r="H14" s="5"/>
      <c r="I14" s="5"/>
    </row>
    <row r="15" spans="1:11" x14ac:dyDescent="0.2">
      <c r="A15" s="135" t="s">
        <v>10</v>
      </c>
      <c r="B15" s="136"/>
      <c r="C15" s="137"/>
      <c r="D15" s="153"/>
      <c r="E15" s="154"/>
      <c r="F15" s="104"/>
      <c r="G15" s="104"/>
      <c r="H15" s="104"/>
      <c r="I15" s="103"/>
    </row>
    <row r="16" spans="1:11" x14ac:dyDescent="0.2">
      <c r="A16" s="135" t="s">
        <v>11</v>
      </c>
      <c r="B16" s="136"/>
      <c r="C16" s="137"/>
      <c r="D16" s="153"/>
      <c r="E16" s="154"/>
      <c r="F16" s="104"/>
      <c r="G16" s="104"/>
      <c r="H16" s="104"/>
      <c r="I16" s="103"/>
    </row>
    <row r="17" spans="1:11" x14ac:dyDescent="0.2">
      <c r="C17" s="4"/>
      <c r="D17" s="110"/>
      <c r="E17" s="110"/>
      <c r="F17" s="5"/>
      <c r="G17" s="5"/>
      <c r="H17" s="5"/>
      <c r="I17" s="5"/>
    </row>
    <row r="18" spans="1:11" x14ac:dyDescent="0.2">
      <c r="A18" s="150" t="s">
        <v>12</v>
      </c>
      <c r="B18" s="151"/>
      <c r="C18" s="152"/>
      <c r="D18" s="155" t="s">
        <v>4</v>
      </c>
      <c r="E18" s="156"/>
      <c r="F18" s="111" t="s">
        <v>13</v>
      </c>
      <c r="G18" s="7"/>
      <c r="H18" s="7"/>
      <c r="I18" s="102" t="s">
        <v>4</v>
      </c>
    </row>
    <row r="19" spans="1:11" x14ac:dyDescent="0.2">
      <c r="C19" s="4"/>
      <c r="D19" s="110"/>
      <c r="E19" s="110"/>
      <c r="F19" s="5"/>
      <c r="G19" s="5"/>
      <c r="H19" s="5"/>
      <c r="I19" s="5"/>
    </row>
    <row r="20" spans="1:11" x14ac:dyDescent="0.2">
      <c r="A20" s="147" t="s">
        <v>14</v>
      </c>
      <c r="B20" s="148"/>
      <c r="C20" s="148"/>
      <c r="D20" s="148"/>
      <c r="E20" s="149"/>
      <c r="F20" s="150" t="s">
        <v>15</v>
      </c>
      <c r="G20" s="151"/>
      <c r="H20" s="151"/>
      <c r="I20" s="152"/>
    </row>
    <row r="21" spans="1:11" x14ac:dyDescent="0.2">
      <c r="A21" s="160"/>
      <c r="B21" s="161"/>
      <c r="C21" s="114" t="s">
        <v>16</v>
      </c>
      <c r="D21" s="164" t="str">
        <f>Anwendung!E1</f>
        <v>Sehr hoch</v>
      </c>
      <c r="E21" s="165"/>
      <c r="F21" s="166"/>
      <c r="G21" s="167"/>
      <c r="H21" s="167"/>
      <c r="I21" s="167"/>
      <c r="K21" s="1"/>
    </row>
    <row r="22" spans="1:11" x14ac:dyDescent="0.2">
      <c r="A22" s="160"/>
      <c r="B22" s="161"/>
      <c r="C22" s="114" t="s">
        <v>17</v>
      </c>
      <c r="D22" s="164" t="str">
        <f>Anwendung!E37</f>
        <v>Bitte Spalte E ausfüllen</v>
      </c>
      <c r="E22" s="165"/>
      <c r="F22" s="166"/>
      <c r="G22" s="167"/>
      <c r="H22" s="167"/>
      <c r="I22" s="167"/>
      <c r="K22" s="1"/>
    </row>
    <row r="23" spans="1:11" x14ac:dyDescent="0.2">
      <c r="A23" s="162"/>
      <c r="B23" s="163"/>
      <c r="C23" s="114" t="s">
        <v>18</v>
      </c>
      <c r="D23" s="164" t="str">
        <f>Anwendung!E74</f>
        <v>Bitte Spalte E ausfüllen</v>
      </c>
      <c r="E23" s="165"/>
      <c r="F23" s="166"/>
      <c r="G23" s="167"/>
      <c r="H23" s="167"/>
      <c r="I23" s="167"/>
      <c r="K23" s="1"/>
    </row>
    <row r="24" spans="1:11" ht="16" x14ac:dyDescent="0.2">
      <c r="C24" s="8"/>
      <c r="D24" s="184"/>
      <c r="E24" s="184"/>
      <c r="F24" s="184"/>
      <c r="G24" s="184"/>
      <c r="H24" s="184"/>
      <c r="I24" s="9"/>
    </row>
    <row r="25" spans="1:11" ht="16" x14ac:dyDescent="0.2">
      <c r="A25" s="10" t="s">
        <v>19</v>
      </c>
      <c r="B25" s="10"/>
      <c r="C25" s="10"/>
      <c r="D25" s="12"/>
      <c r="E25" s="12"/>
      <c r="F25" s="12"/>
      <c r="G25" s="12"/>
      <c r="H25" s="12"/>
      <c r="I25" s="11"/>
    </row>
    <row r="26" spans="1:11" x14ac:dyDescent="0.2">
      <c r="A26" s="112" t="s">
        <v>20</v>
      </c>
      <c r="B26" s="157" t="s">
        <v>21</v>
      </c>
      <c r="C26" s="158"/>
      <c r="D26" s="159" t="s">
        <v>22</v>
      </c>
      <c r="E26" s="159"/>
      <c r="F26" s="159" t="s">
        <v>23</v>
      </c>
      <c r="G26" s="159"/>
      <c r="H26" s="159"/>
      <c r="I26" s="112" t="s">
        <v>24</v>
      </c>
      <c r="J26" s="13"/>
      <c r="K26" s="13"/>
    </row>
    <row r="27" spans="1:11" ht="14" x14ac:dyDescent="0.2">
      <c r="A27" s="14">
        <v>1</v>
      </c>
      <c r="B27" s="168"/>
      <c r="C27" s="169"/>
      <c r="D27" s="183"/>
      <c r="E27" s="171"/>
      <c r="F27" s="176"/>
      <c r="G27" s="176"/>
      <c r="H27" s="176"/>
      <c r="I27" s="14"/>
      <c r="J27" s="15"/>
      <c r="K27" s="15"/>
    </row>
    <row r="28" spans="1:11" x14ac:dyDescent="0.2">
      <c r="A28" s="14">
        <v>2</v>
      </c>
      <c r="B28" s="168"/>
      <c r="C28" s="169"/>
      <c r="D28" s="175"/>
      <c r="E28" s="175"/>
      <c r="F28" s="176"/>
      <c r="G28" s="176"/>
      <c r="H28" s="176"/>
      <c r="I28" s="14"/>
      <c r="J28" s="16"/>
      <c r="K28" s="16"/>
    </row>
    <row r="29" spans="1:11" x14ac:dyDescent="0.2">
      <c r="A29" s="14">
        <v>3</v>
      </c>
      <c r="B29" s="168"/>
      <c r="C29" s="169"/>
      <c r="D29" s="175"/>
      <c r="E29" s="175"/>
      <c r="F29" s="176"/>
      <c r="G29" s="176"/>
      <c r="H29" s="176"/>
      <c r="I29" s="14"/>
      <c r="J29" s="16"/>
      <c r="K29" s="16"/>
    </row>
    <row r="30" spans="1:11" x14ac:dyDescent="0.2">
      <c r="A30" s="14">
        <v>4</v>
      </c>
      <c r="B30" s="168"/>
      <c r="C30" s="169"/>
      <c r="D30" s="175"/>
      <c r="E30" s="175"/>
      <c r="F30" s="176"/>
      <c r="G30" s="176"/>
      <c r="H30" s="176"/>
      <c r="I30" s="14"/>
      <c r="J30" s="16"/>
      <c r="K30" s="16"/>
    </row>
    <row r="31" spans="1:11" x14ac:dyDescent="0.2">
      <c r="A31" s="14">
        <v>5</v>
      </c>
      <c r="B31" s="168"/>
      <c r="C31" s="169"/>
      <c r="D31" s="175"/>
      <c r="E31" s="175"/>
      <c r="F31" s="176"/>
      <c r="G31" s="176"/>
      <c r="H31" s="176"/>
      <c r="I31" s="14"/>
      <c r="J31" s="16"/>
      <c r="K31" s="16"/>
    </row>
    <row r="32" spans="1:11" x14ac:dyDescent="0.2">
      <c r="A32" s="14">
        <v>6</v>
      </c>
      <c r="B32" s="168"/>
      <c r="C32" s="169"/>
      <c r="D32" s="175"/>
      <c r="E32" s="175"/>
      <c r="F32" s="176"/>
      <c r="G32" s="176"/>
      <c r="H32" s="176"/>
      <c r="I32" s="14"/>
      <c r="J32" s="16"/>
      <c r="K32" s="16"/>
    </row>
    <row r="33" spans="1:11" x14ac:dyDescent="0.2">
      <c r="A33" s="14">
        <v>7</v>
      </c>
      <c r="B33" s="168"/>
      <c r="C33" s="169"/>
      <c r="D33" s="175"/>
      <c r="E33" s="175"/>
      <c r="F33" s="176"/>
      <c r="G33" s="176"/>
      <c r="H33" s="176"/>
      <c r="I33" s="14"/>
      <c r="J33" s="16"/>
      <c r="K33" s="16"/>
    </row>
    <row r="34" spans="1:11" x14ac:dyDescent="0.2">
      <c r="A34" s="14">
        <v>8</v>
      </c>
      <c r="B34" s="168"/>
      <c r="C34" s="169"/>
      <c r="D34" s="177"/>
      <c r="E34" s="178"/>
      <c r="F34" s="179"/>
      <c r="G34" s="180"/>
      <c r="H34" s="181"/>
      <c r="I34" s="14"/>
      <c r="J34" s="16"/>
      <c r="K34" s="16"/>
    </row>
    <row r="35" spans="1:11" x14ac:dyDescent="0.2">
      <c r="A35" s="14">
        <v>9</v>
      </c>
      <c r="B35" s="168"/>
      <c r="C35" s="169"/>
      <c r="D35" s="182"/>
      <c r="E35" s="178"/>
      <c r="F35" s="179"/>
      <c r="G35" s="180"/>
      <c r="H35" s="181"/>
      <c r="I35" s="14"/>
      <c r="J35" s="16"/>
      <c r="K35" s="16"/>
    </row>
    <row r="36" spans="1:11" x14ac:dyDescent="0.2">
      <c r="A36" s="14">
        <v>10</v>
      </c>
      <c r="B36" s="168"/>
      <c r="C36" s="169"/>
      <c r="D36" s="170"/>
      <c r="E36" s="171"/>
      <c r="F36" s="172"/>
      <c r="G36" s="173"/>
      <c r="H36" s="174"/>
      <c r="I36" s="14"/>
      <c r="J36" s="16"/>
      <c r="K36" s="16"/>
    </row>
    <row r="37" spans="1:11" x14ac:dyDescent="0.2">
      <c r="C37" s="17"/>
      <c r="D37" s="18"/>
      <c r="E37" s="18"/>
      <c r="F37" s="19"/>
      <c r="G37" s="19"/>
      <c r="H37" s="19"/>
      <c r="I37" s="19"/>
    </row>
  </sheetData>
  <mergeCells count="72">
    <mergeCell ref="B32:C32"/>
    <mergeCell ref="D32:E32"/>
    <mergeCell ref="F32:H32"/>
    <mergeCell ref="B29:C29"/>
    <mergeCell ref="D29:E29"/>
    <mergeCell ref="F29:H29"/>
    <mergeCell ref="B30:C30"/>
    <mergeCell ref="H12:I12"/>
    <mergeCell ref="H13:I13"/>
    <mergeCell ref="B31:C31"/>
    <mergeCell ref="D31:E31"/>
    <mergeCell ref="F31:H31"/>
    <mergeCell ref="D30:E30"/>
    <mergeCell ref="F30:H30"/>
    <mergeCell ref="B27:C27"/>
    <mergeCell ref="D27:E27"/>
    <mergeCell ref="F27:H27"/>
    <mergeCell ref="B28:C28"/>
    <mergeCell ref="D28:E28"/>
    <mergeCell ref="F28:H28"/>
    <mergeCell ref="D23:E23"/>
    <mergeCell ref="F23:I23"/>
    <mergeCell ref="D24:H24"/>
    <mergeCell ref="B36:C36"/>
    <mergeCell ref="D36:E36"/>
    <mergeCell ref="F36:H36"/>
    <mergeCell ref="B33:C33"/>
    <mergeCell ref="D33:E33"/>
    <mergeCell ref="F33:H33"/>
    <mergeCell ref="B34:C34"/>
    <mergeCell ref="D34:E34"/>
    <mergeCell ref="F34:H34"/>
    <mergeCell ref="F35:H35"/>
    <mergeCell ref="D35:E35"/>
    <mergeCell ref="B35:C35"/>
    <mergeCell ref="B26:C26"/>
    <mergeCell ref="D26:E26"/>
    <mergeCell ref="F26:H26"/>
    <mergeCell ref="A21:B23"/>
    <mergeCell ref="D21:E21"/>
    <mergeCell ref="F21:I21"/>
    <mergeCell ref="D22:E22"/>
    <mergeCell ref="F22:I22"/>
    <mergeCell ref="A20:E20"/>
    <mergeCell ref="F20:I20"/>
    <mergeCell ref="A15:C15"/>
    <mergeCell ref="D15:E15"/>
    <mergeCell ref="A16:C16"/>
    <mergeCell ref="D16:E16"/>
    <mergeCell ref="A18:C18"/>
    <mergeCell ref="D18:E18"/>
    <mergeCell ref="A12:C12"/>
    <mergeCell ref="D12:E12"/>
    <mergeCell ref="F12:G12"/>
    <mergeCell ref="A13:C13"/>
    <mergeCell ref="D13:E13"/>
    <mergeCell ref="F13:G13"/>
    <mergeCell ref="H11:I11"/>
    <mergeCell ref="D5:E5"/>
    <mergeCell ref="H3:I4"/>
    <mergeCell ref="A1:E4"/>
    <mergeCell ref="F11:G11"/>
    <mergeCell ref="A5:C5"/>
    <mergeCell ref="D6:E6"/>
    <mergeCell ref="A7:C7"/>
    <mergeCell ref="D7:E7"/>
    <mergeCell ref="D8:E8"/>
    <mergeCell ref="A9:C9"/>
    <mergeCell ref="D9:E9"/>
    <mergeCell ref="D10:E10"/>
    <mergeCell ref="A11:C11"/>
    <mergeCell ref="D11:E11"/>
  </mergeCells>
  <conditionalFormatting sqref="D21:E23">
    <cfRule type="beginsWith" dxfId="22" priority="1" operator="beginsWith" text="Bitte Spalte E">
      <formula>LEFT(D21,LEN("Bitte Spalte E"))="Bitte Spalte E"</formula>
    </cfRule>
    <cfRule type="beginsWith" dxfId="21" priority="2" operator="beginsWith" text="Sehr">
      <formula>LEFT(D21,LEN("Sehr"))="Sehr"</formula>
    </cfRule>
    <cfRule type="containsText" dxfId="20" priority="3" operator="containsText" text="Noch auszufüllen">
      <formula>NOT(ISERROR(SEARCH("Noch auszufüllen",D21)))</formula>
    </cfRule>
    <cfRule type="containsText" dxfId="19" priority="4" operator="containsText" text="Hoch">
      <formula>NOT(ISERROR(SEARCH("Hoch",D21)))</formula>
    </cfRule>
    <cfRule type="containsText" dxfId="18" priority="5" operator="containsText" text="Normal">
      <formula>NOT(ISERROR(SEARCH("Normal",D21)))</formula>
    </cfRule>
  </conditionalFormatting>
  <dataValidations count="2">
    <dataValidation type="list" allowBlank="1" showInputMessage="1" showErrorMessage="1" sqref="I18 D18" xr:uid="{00000000-0002-0000-0000-000000000000}">
      <formula1>"&lt;bitte auswählen&gt;, ja,nein"</formula1>
    </dataValidation>
    <dataValidation type="list" allowBlank="1" showInputMessage="1" showErrorMessage="1" sqref="D9:E9" xr:uid="{00000000-0002-0000-0000-000001000000}">
      <formula1>"&lt;bitte auswählen&gt;, in Bearbeitung, fachlich freigegeben, freigegeben"</formula1>
    </dataValidation>
  </dataValidations>
  <pageMargins left="0.8" right="0.25" top="0.75" bottom="0.75" header="0.3" footer="0.3"/>
  <pageSetup paperSize="9" scale="94" fitToHeight="0" orientation="landscape" horizontalDpi="300" verticalDpi="300" r:id="rId1"/>
  <headerFooter alignWithMargins="0">
    <oddFooter>&amp;C&amp;A - Seite &amp;P von &amp;N</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1">
    <tabColor indexed="43"/>
    <outlinePr summaryBelow="0"/>
    <pageSetUpPr fitToPage="1"/>
  </sheetPr>
  <dimension ref="A1:I108"/>
  <sheetViews>
    <sheetView showGridLines="0" zoomScale="150" zoomScaleNormal="150" zoomScalePageLayoutView="90" workbookViewId="0">
      <selection activeCell="E7" sqref="E7"/>
    </sheetView>
  </sheetViews>
  <sheetFormatPr baseColWidth="10" defaultColWidth="17.33203125" defaultRowHeight="13" x14ac:dyDescent="0.15"/>
  <cols>
    <col min="1" max="1" width="0.83203125" style="41" customWidth="1"/>
    <col min="2" max="2" width="17.6640625" style="23" customWidth="1"/>
    <col min="3" max="3" width="0.6640625" style="23" customWidth="1"/>
    <col min="4" max="4" width="63.5" style="21" customWidth="1"/>
    <col min="5" max="5" width="16.33203125" style="21" customWidth="1"/>
    <col min="6" max="6" width="31.6640625" style="21" customWidth="1"/>
    <col min="7" max="7" width="14.6640625" style="21" bestFit="1" customWidth="1"/>
    <col min="8" max="8" width="22" style="40" hidden="1" customWidth="1"/>
    <col min="9" max="9" width="0.6640625" style="40" customWidth="1"/>
    <col min="10" max="16384" width="17.33203125" style="21"/>
  </cols>
  <sheetData>
    <row r="1" spans="1:9" ht="16" x14ac:dyDescent="0.15">
      <c r="A1" s="20"/>
      <c r="B1" s="42" t="s">
        <v>25</v>
      </c>
      <c r="C1" s="20"/>
      <c r="D1" s="20"/>
      <c r="E1" s="197" t="str">
        <f>IF(Hilfstabelle!B10=5,"Normal", IF(Hilfstabelle!B10&gt;=1000,"Sehr hoch",IF(Hilfstabelle!B10&gt;=10,"Hoch","Bitte Spalte E ausfüllen")))</f>
        <v>Sehr hoch</v>
      </c>
      <c r="F1" s="197"/>
      <c r="G1" s="197"/>
      <c r="H1" s="20"/>
      <c r="I1" s="56"/>
    </row>
    <row r="2" spans="1:9" s="49" customFormat="1" ht="15.75" customHeight="1" x14ac:dyDescent="0.15">
      <c r="A2" s="44"/>
      <c r="B2" s="45" t="s">
        <v>26</v>
      </c>
      <c r="C2" s="46"/>
      <c r="D2" s="45" t="s">
        <v>27</v>
      </c>
      <c r="E2" s="45" t="s">
        <v>28</v>
      </c>
      <c r="F2" s="45" t="s">
        <v>29</v>
      </c>
      <c r="G2" s="45" t="s">
        <v>30</v>
      </c>
      <c r="H2" s="47" t="s">
        <v>31</v>
      </c>
      <c r="I2" s="48"/>
    </row>
    <row r="3" spans="1:9" ht="26" x14ac:dyDescent="0.15">
      <c r="A3" s="24"/>
      <c r="B3" s="198" t="s">
        <v>32</v>
      </c>
      <c r="C3" s="25"/>
      <c r="D3" s="81" t="s">
        <v>33</v>
      </c>
      <c r="E3" s="87" t="s">
        <v>172</v>
      </c>
      <c r="F3" s="88"/>
      <c r="G3" s="200" t="str">
        <f>IF(AND(E5="Ja",E6="Ja",E7="Ja"),"Eingabe prüfen!",IF(AND(E5="Ja",E6="Ja"),"Eingabe prüfen!",IF(AND(E5="Ja",E7="Ja"),"Eingabe prüfen!",IF(AND(E6="Ja",E7="Ja"),"Eingabe prüfen!",IF(AND(E3="Nein",E5="Ja"),"Eingabe prüfen!",IF(AND(E3="Nein",E6="Ja"),"Eingabe prüfen!",IF(AND(E3="Nein",E7="Ja"),"Eingabe prüfen!",IF(AND(E3="Ja",E5="nein",E6="Nein",E7="Nein"),"Eingabe prüfen!",IF(OR(E3="Nein",E5="Ja"),"Normal",IF(E6="Ja","Hoch",IF(E7="Ja","Sehr hoch")))))))))))</f>
        <v>Sehr hoch</v>
      </c>
      <c r="H3" s="26"/>
      <c r="I3" s="27"/>
    </row>
    <row r="4" spans="1:9" ht="12.75" customHeight="1" x14ac:dyDescent="0.15">
      <c r="A4" s="24"/>
      <c r="B4" s="198"/>
      <c r="C4" s="25"/>
      <c r="D4" s="82" t="s">
        <v>34</v>
      </c>
      <c r="E4" s="89"/>
      <c r="F4" s="90"/>
      <c r="G4" s="199"/>
      <c r="H4" s="26"/>
      <c r="I4" s="27"/>
    </row>
    <row r="5" spans="1:9" ht="23.25" customHeight="1" x14ac:dyDescent="0.15">
      <c r="A5" s="24"/>
      <c r="B5" s="198"/>
      <c r="C5" s="25"/>
      <c r="D5" s="82" t="s">
        <v>35</v>
      </c>
      <c r="E5" s="87"/>
      <c r="F5" s="88"/>
      <c r="G5" s="199"/>
      <c r="H5" s="26"/>
      <c r="I5" s="27"/>
    </row>
    <row r="6" spans="1:9" ht="23.25" customHeight="1" x14ac:dyDescent="0.15">
      <c r="A6" s="24"/>
      <c r="B6" s="198"/>
      <c r="C6" s="25"/>
      <c r="D6" s="82" t="s">
        <v>36</v>
      </c>
      <c r="E6" s="87"/>
      <c r="F6" s="88"/>
      <c r="G6" s="199"/>
      <c r="H6" s="26"/>
      <c r="I6" s="27"/>
    </row>
    <row r="7" spans="1:9" ht="23.25" customHeight="1" x14ac:dyDescent="0.15">
      <c r="A7" s="24"/>
      <c r="B7" s="198"/>
      <c r="C7" s="25"/>
      <c r="D7" s="82" t="s">
        <v>37</v>
      </c>
      <c r="E7" s="87" t="s">
        <v>172</v>
      </c>
      <c r="F7" s="88"/>
      <c r="G7" s="201"/>
      <c r="H7" s="26"/>
      <c r="I7" s="27"/>
    </row>
    <row r="8" spans="1:9" ht="4.5" customHeight="1" x14ac:dyDescent="0.15">
      <c r="A8" s="24"/>
      <c r="B8" s="22"/>
      <c r="C8" s="22"/>
      <c r="D8" s="28"/>
      <c r="E8" s="91"/>
      <c r="F8" s="91"/>
      <c r="G8" s="28"/>
      <c r="H8" s="27"/>
      <c r="I8" s="27"/>
    </row>
    <row r="9" spans="1:9" ht="12.75" customHeight="1" x14ac:dyDescent="0.15">
      <c r="A9" s="24"/>
      <c r="B9" s="198" t="s">
        <v>38</v>
      </c>
      <c r="C9" s="25"/>
      <c r="D9" s="83" t="s">
        <v>39</v>
      </c>
      <c r="E9" s="87"/>
      <c r="F9" s="88"/>
      <c r="G9" s="199" t="b">
        <f>IF(AND(E11="Ja",E12="Ja",E13="Ja"),"Eingabe prüfen!",IF(AND(E11="Ja",E12="Ja"),"Eingabe prüfen!",IF(AND(E11="Ja",E13="Ja"),"Eingabe prüfen!",IF(AND(E12="Ja",E13="Ja"),"Eingabe prüfen!",IF(AND(E9="Nein",E11="Ja"),"Eingabe prüfen!",IF(AND(E9="Nein",E12="Ja"),"Eingabe prüfen!",IF(AND(E9="Nein",E13="Ja"),"Eingabe prüfen!",IF(AND(E9="Ja",E11="Nein",E12="Nein",E13="Nein"),"Eingabe prüfen!",IF(OR(E9="Nein",E11="Ja"),"Normal",IF(E12="Ja","Hoch",IF(E13="Ja","Sehr hoch")))))))))))</f>
        <v>0</v>
      </c>
      <c r="H9" s="26"/>
      <c r="I9" s="27"/>
    </row>
    <row r="10" spans="1:9" x14ac:dyDescent="0.15">
      <c r="A10" s="24"/>
      <c r="B10" s="198"/>
      <c r="C10" s="25"/>
      <c r="D10" s="82" t="s">
        <v>40</v>
      </c>
      <c r="E10" s="89"/>
      <c r="F10" s="90"/>
      <c r="G10" s="199"/>
      <c r="H10" s="26"/>
      <c r="I10" s="27"/>
    </row>
    <row r="11" spans="1:9" ht="12.75" customHeight="1" x14ac:dyDescent="0.15">
      <c r="A11" s="24"/>
      <c r="B11" s="198"/>
      <c r="C11" s="25"/>
      <c r="D11" s="81" t="s">
        <v>41</v>
      </c>
      <c r="E11" s="87"/>
      <c r="F11" s="88"/>
      <c r="G11" s="199"/>
      <c r="H11" s="26"/>
      <c r="I11" s="27"/>
    </row>
    <row r="12" spans="1:9" ht="23" customHeight="1" x14ac:dyDescent="0.15">
      <c r="A12" s="24"/>
      <c r="B12" s="198"/>
      <c r="C12" s="25"/>
      <c r="D12" s="81" t="s">
        <v>42</v>
      </c>
      <c r="E12" s="87"/>
      <c r="F12" s="88"/>
      <c r="G12" s="199"/>
      <c r="H12" s="26"/>
      <c r="I12" s="27"/>
    </row>
    <row r="13" spans="1:9" ht="24" customHeight="1" x14ac:dyDescent="0.15">
      <c r="A13" s="24"/>
      <c r="B13" s="198"/>
      <c r="C13" s="25"/>
      <c r="D13" s="81" t="s">
        <v>43</v>
      </c>
      <c r="E13" s="87"/>
      <c r="F13" s="88"/>
      <c r="G13" s="199"/>
      <c r="H13" s="26"/>
      <c r="I13" s="27"/>
    </row>
    <row r="14" spans="1:9" ht="4.5" customHeight="1" x14ac:dyDescent="0.15">
      <c r="A14" s="24"/>
      <c r="B14" s="22"/>
      <c r="C14" s="22"/>
      <c r="D14" s="28"/>
      <c r="E14" s="91"/>
      <c r="F14" s="91"/>
      <c r="G14" s="28"/>
      <c r="H14" s="27"/>
      <c r="I14" s="27"/>
    </row>
    <row r="15" spans="1:9" ht="39" x14ac:dyDescent="0.15">
      <c r="A15" s="24"/>
      <c r="B15" s="113" t="s">
        <v>44</v>
      </c>
      <c r="C15" s="25"/>
      <c r="D15" s="116" t="s">
        <v>45</v>
      </c>
      <c r="E15" s="118"/>
      <c r="F15" s="119"/>
      <c r="G15" s="120"/>
      <c r="H15" s="26"/>
      <c r="I15" s="27"/>
    </row>
    <row r="16" spans="1:9" ht="4.5" customHeight="1" x14ac:dyDescent="0.15">
      <c r="A16" s="24"/>
      <c r="B16" s="22"/>
      <c r="C16" s="22"/>
      <c r="D16" s="28"/>
      <c r="E16" s="91"/>
      <c r="F16" s="91"/>
      <c r="G16" s="28"/>
      <c r="H16" s="27"/>
      <c r="I16" s="27"/>
    </row>
    <row r="17" spans="1:9" ht="12.75" customHeight="1" x14ac:dyDescent="0.15">
      <c r="A17" s="24"/>
      <c r="B17" s="198" t="s">
        <v>46</v>
      </c>
      <c r="C17" s="25"/>
      <c r="D17" s="83" t="s">
        <v>47</v>
      </c>
      <c r="E17" s="87"/>
      <c r="F17" s="88"/>
      <c r="G17" s="199" t="b">
        <f>IF(AND(E19="Ja",E20="Ja",E21="Ja"),"Eingabe prüfen!",IF(AND(E19="Ja",E20="Ja"),"Eingabe prüfen!",IF(AND(E19="Ja",E21="Ja"),"Eingabe prüfen!",IF(AND(E20="Ja",E21="Ja"),"Eingabe prüfen!",IF(AND(E17="Nein",E19="Ja"),"Eingabe prüfen!",IF(AND(E17="Nein",E20="Ja"),"Eingabe prüfen!",IF(AND(E17="Nein",E21="Ja"),"Eingabe prüfen!",IF(AND(E17="Ja",E19="Nein",E20="Nein",E21="Nein"),"Eingabe prüfen!",IF(OR(E17="Nein",E19="Ja"),"Normal",IF(E20="Ja","Hoch",IF(E21="Ja","Sehr hoch")))))))))))</f>
        <v>0</v>
      </c>
      <c r="H17" s="26"/>
      <c r="I17" s="27"/>
    </row>
    <row r="18" spans="1:9" ht="12.75" customHeight="1" x14ac:dyDescent="0.15">
      <c r="A18" s="24"/>
      <c r="B18" s="198"/>
      <c r="C18" s="25"/>
      <c r="D18" s="82" t="s">
        <v>48</v>
      </c>
      <c r="E18" s="89"/>
      <c r="F18" s="90"/>
      <c r="G18" s="199"/>
      <c r="H18" s="26"/>
      <c r="I18" s="27"/>
    </row>
    <row r="19" spans="1:9" x14ac:dyDescent="0.15">
      <c r="A19" s="24"/>
      <c r="B19" s="198"/>
      <c r="C19" s="25"/>
      <c r="D19" s="81" t="s">
        <v>49</v>
      </c>
      <c r="E19" s="87"/>
      <c r="F19" s="88"/>
      <c r="G19" s="199"/>
      <c r="H19" s="26"/>
      <c r="I19" s="27"/>
    </row>
    <row r="20" spans="1:9" ht="26" x14ac:dyDescent="0.15">
      <c r="A20" s="24"/>
      <c r="B20" s="198"/>
      <c r="C20" s="25"/>
      <c r="D20" s="81" t="s">
        <v>50</v>
      </c>
      <c r="E20" s="87"/>
      <c r="F20" s="88"/>
      <c r="G20" s="199"/>
      <c r="H20" s="26"/>
      <c r="I20" s="27"/>
    </row>
    <row r="21" spans="1:9" ht="26" x14ac:dyDescent="0.15">
      <c r="A21" s="24"/>
      <c r="B21" s="198"/>
      <c r="C21" s="25"/>
      <c r="D21" s="81" t="s">
        <v>51</v>
      </c>
      <c r="E21" s="87"/>
      <c r="F21" s="88"/>
      <c r="G21" s="199"/>
      <c r="H21" s="26"/>
      <c r="I21" s="27"/>
    </row>
    <row r="22" spans="1:9" ht="4.5" customHeight="1" x14ac:dyDescent="0.15">
      <c r="A22" s="24"/>
      <c r="B22" s="22"/>
      <c r="C22" s="22"/>
      <c r="D22" s="28"/>
      <c r="E22" s="91"/>
      <c r="F22" s="91"/>
      <c r="G22" s="28"/>
      <c r="H22" s="27"/>
      <c r="I22" s="27"/>
    </row>
    <row r="23" spans="1:9" x14ac:dyDescent="0.15">
      <c r="A23" s="24"/>
      <c r="B23" s="198" t="s">
        <v>52</v>
      </c>
      <c r="C23" s="25"/>
      <c r="D23" s="81" t="s">
        <v>53</v>
      </c>
      <c r="E23" s="87"/>
      <c r="F23" s="88"/>
      <c r="G23" s="199" t="b">
        <f>IF(AND(E25="Ja",E26="Ja",E27="Ja"),"Eingabe prüfen!",IF(AND(E25="Ja",E26="Ja"),"Eingabe prüfen!",IF(AND(E25="Ja",E27="Ja"),"Eingabe prüfen!",IF(AND(E26="Ja",E27="Ja"),"Eingabe prüfen!",IF(AND(E23="Nein",E25="Ja"),"Eingabe prüfen!",IF(AND(E23="Nein",E26="Ja"),"Eingabe prüfen!",IF(AND(E23="Nein",E27="Ja"),"Eingabe prüfen!",IF(AND(E23="Ja",E25="Nein",E26="Nein",E27="Nein"),"Eingabe prüfen!",IF(OR(E23="Nein",E25="Ja"),"Normal",IF(E26="Ja","Hoch",IF(E27="Ja","Sehr hoch")))))))))))</f>
        <v>0</v>
      </c>
      <c r="H23" s="26"/>
      <c r="I23" s="27"/>
    </row>
    <row r="24" spans="1:9" ht="12.75" customHeight="1" x14ac:dyDescent="0.15">
      <c r="A24" s="24"/>
      <c r="B24" s="198"/>
      <c r="C24" s="25"/>
      <c r="D24" s="82" t="s">
        <v>34</v>
      </c>
      <c r="E24" s="89"/>
      <c r="F24" s="90"/>
      <c r="G24" s="199"/>
      <c r="H24" s="26"/>
      <c r="I24" s="27"/>
    </row>
    <row r="25" spans="1:9" x14ac:dyDescent="0.15">
      <c r="A25" s="24"/>
      <c r="B25" s="198"/>
      <c r="C25" s="25"/>
      <c r="D25" s="81" t="s">
        <v>54</v>
      </c>
      <c r="E25" s="87"/>
      <c r="F25" s="88"/>
      <c r="G25" s="199"/>
      <c r="H25" s="26"/>
      <c r="I25" s="27"/>
    </row>
    <row r="26" spans="1:9" ht="26" x14ac:dyDescent="0.15">
      <c r="A26" s="24"/>
      <c r="B26" s="198"/>
      <c r="C26" s="25"/>
      <c r="D26" s="81" t="s">
        <v>55</v>
      </c>
      <c r="E26" s="87"/>
      <c r="F26" s="88"/>
      <c r="G26" s="199"/>
      <c r="H26" s="26"/>
      <c r="I26" s="27"/>
    </row>
    <row r="27" spans="1:9" ht="26" x14ac:dyDescent="0.15">
      <c r="A27" s="24"/>
      <c r="B27" s="198"/>
      <c r="C27" s="25"/>
      <c r="D27" s="81" t="s">
        <v>56</v>
      </c>
      <c r="E27" s="87"/>
      <c r="F27" s="88"/>
      <c r="G27" s="199"/>
      <c r="H27" s="26"/>
      <c r="I27" s="27"/>
    </row>
    <row r="28" spans="1:9" ht="4.5" customHeight="1" x14ac:dyDescent="0.15">
      <c r="A28" s="24"/>
      <c r="B28" s="22"/>
      <c r="C28" s="22"/>
      <c r="D28" s="29"/>
      <c r="E28" s="91"/>
      <c r="F28" s="91"/>
      <c r="G28" s="28"/>
      <c r="H28" s="27"/>
      <c r="I28" s="27"/>
    </row>
    <row r="29" spans="1:9" x14ac:dyDescent="0.15">
      <c r="A29" s="24"/>
      <c r="B29" s="198" t="s">
        <v>57</v>
      </c>
      <c r="C29" s="25"/>
      <c r="D29" s="81" t="s">
        <v>53</v>
      </c>
      <c r="E29" s="87"/>
      <c r="F29" s="88"/>
      <c r="G29" s="199" t="b">
        <f>IF(AND(E31="Ja",E32="Ja",E33="Ja"),"Eingabe prüfen!",IF(AND(E31="Ja",E32="Ja"),"Eingabe prüfen!",IF(AND(E31="Ja",E33="Ja"),"Eingabe prüfen!",IF(AND(E32="Ja",E33="Ja"),"Eingabe prüfen!",IF(AND(E29="Nein",E31="Ja"),"Eingabe prüfen!",IF(AND(E29="Nein",E32="Ja"),"Eingabe prüfen!",IF(AND(E29="Nein",E33="Ja"),"Eingabe prüfen!",IF(AND(E29="Ja",E31="Nein",E32="Nein",E33="Nein"),"Eingabe prüfen!",IF(OR(E29="Nein",E31="Ja"),"Normal",IF(E32="Ja","Hoch",IF(E33="Ja","Sehr hoch")))))))))))</f>
        <v>0</v>
      </c>
      <c r="H29" s="26"/>
      <c r="I29" s="27"/>
    </row>
    <row r="30" spans="1:9" ht="12.75" customHeight="1" x14ac:dyDescent="0.15">
      <c r="A30" s="24"/>
      <c r="B30" s="198"/>
      <c r="C30" s="25"/>
      <c r="D30" s="82" t="s">
        <v>34</v>
      </c>
      <c r="E30" s="89"/>
      <c r="F30" s="90"/>
      <c r="G30" s="199"/>
      <c r="H30" s="26"/>
      <c r="I30" s="27"/>
    </row>
    <row r="31" spans="1:9" x14ac:dyDescent="0.15">
      <c r="A31" s="24"/>
      <c r="B31" s="198"/>
      <c r="C31" s="25"/>
      <c r="D31" s="81" t="s">
        <v>58</v>
      </c>
      <c r="E31" s="87"/>
      <c r="F31" s="88"/>
      <c r="G31" s="199"/>
      <c r="H31" s="26"/>
      <c r="I31" s="27"/>
    </row>
    <row r="32" spans="1:9" x14ac:dyDescent="0.15">
      <c r="A32" s="24"/>
      <c r="B32" s="198"/>
      <c r="C32" s="25"/>
      <c r="D32" s="81" t="s">
        <v>59</v>
      </c>
      <c r="E32" s="87"/>
      <c r="F32" s="88"/>
      <c r="G32" s="199"/>
      <c r="H32" s="26"/>
      <c r="I32" s="27"/>
    </row>
    <row r="33" spans="1:9" x14ac:dyDescent="0.15">
      <c r="A33" s="24"/>
      <c r="B33" s="198"/>
      <c r="C33" s="25"/>
      <c r="D33" s="81" t="s">
        <v>60</v>
      </c>
      <c r="E33" s="87"/>
      <c r="F33" s="88"/>
      <c r="G33" s="199"/>
      <c r="H33" s="26"/>
      <c r="I33" s="27"/>
    </row>
    <row r="34" spans="1:9" ht="4.5" customHeight="1" x14ac:dyDescent="0.15">
      <c r="A34" s="24"/>
      <c r="B34" s="22"/>
      <c r="C34" s="22"/>
      <c r="D34" s="30"/>
      <c r="E34" s="30"/>
      <c r="F34" s="30"/>
      <c r="G34" s="30"/>
      <c r="H34" s="31"/>
      <c r="I34" s="31"/>
    </row>
    <row r="35" spans="1:9" ht="16" x14ac:dyDescent="0.15">
      <c r="A35" s="77"/>
      <c r="B35" s="78"/>
      <c r="C35" s="77"/>
      <c r="D35" s="77"/>
      <c r="E35" s="79"/>
      <c r="F35" s="79"/>
      <c r="G35" s="79"/>
      <c r="H35" s="77"/>
      <c r="I35" s="79"/>
    </row>
    <row r="36" spans="1:9" ht="16" x14ac:dyDescent="0.15">
      <c r="A36" s="77"/>
      <c r="B36" s="78"/>
      <c r="C36" s="77"/>
      <c r="D36" s="77"/>
      <c r="E36" s="79"/>
      <c r="F36" s="79"/>
      <c r="G36" s="79"/>
      <c r="H36" s="77"/>
      <c r="I36" s="79"/>
    </row>
    <row r="37" spans="1:9" ht="16" x14ac:dyDescent="0.15">
      <c r="A37" s="60"/>
      <c r="B37" s="43" t="s">
        <v>61</v>
      </c>
      <c r="C37" s="60"/>
      <c r="D37" s="60"/>
      <c r="E37" s="202" t="str">
        <f>IF(Hilfstabelle!D10=6,"Normal", IF(Hilfstabelle!D10&gt;=1000,"Sehr hoch",IF(Hilfstabelle!D10&gt;=10,"Hoch","Bitte Spalte E ausfüllen")))</f>
        <v>Bitte Spalte E ausfüllen</v>
      </c>
      <c r="F37" s="202"/>
      <c r="G37" s="202"/>
      <c r="H37" s="58"/>
      <c r="I37" s="61"/>
    </row>
    <row r="38" spans="1:9" s="49" customFormat="1" ht="15.75" customHeight="1" x14ac:dyDescent="0.15">
      <c r="A38" s="50"/>
      <c r="B38" s="59" t="s">
        <v>26</v>
      </c>
      <c r="C38" s="51"/>
      <c r="D38" s="59" t="s">
        <v>27</v>
      </c>
      <c r="E38" s="59" t="s">
        <v>28</v>
      </c>
      <c r="F38" s="59" t="s">
        <v>29</v>
      </c>
      <c r="G38" s="59" t="s">
        <v>30</v>
      </c>
      <c r="H38" s="47" t="s">
        <v>31</v>
      </c>
      <c r="I38" s="52"/>
    </row>
    <row r="39" spans="1:9" ht="26" x14ac:dyDescent="0.15">
      <c r="A39" s="33"/>
      <c r="B39" s="189" t="s">
        <v>32</v>
      </c>
      <c r="C39" s="34"/>
      <c r="D39" s="80" t="s">
        <v>62</v>
      </c>
      <c r="E39" s="92"/>
      <c r="F39" s="93"/>
      <c r="G39" s="190" t="b">
        <f>IF(AND(E41="Ja",E42="Ja",E43="Ja"),"Eingabe prüfen!",IF(AND(E41="Ja",E42="Ja"),"Eingabe prüfen!",IF(AND(E41="Ja",E43="Ja"),"Eingabe prüfen!",IF(AND(E42="Ja",E43="Ja"),"Eingabe prüfen!",IF(AND(E39="Nein",E41="Ja"),"Eingabe prüfen!",IF(AND(E39="Nein",E42="Ja"),"Eingabe prüfen!",IF(AND(E39="Nein",E43="Ja"),"Eingabe prüfen!",IF(AND(E39="Ja",E41="Nein",E42="Nein",E43="Nein"),"Eingabe prüfen!",IF(OR(E39="Nein",E41="Ja"),"Normal",IF(E42="Ja","Hoch",IF(E43="Ja","Sehr hoch")))))))))))</f>
        <v>0</v>
      </c>
      <c r="H39" s="26"/>
      <c r="I39" s="35"/>
    </row>
    <row r="40" spans="1:9" x14ac:dyDescent="0.15">
      <c r="A40" s="33"/>
      <c r="B40" s="189"/>
      <c r="C40" s="34"/>
      <c r="D40" s="80" t="s">
        <v>63</v>
      </c>
      <c r="E40" s="94"/>
      <c r="F40" s="95"/>
      <c r="G40" s="191"/>
      <c r="H40" s="26"/>
      <c r="I40" s="35"/>
    </row>
    <row r="41" spans="1:9" ht="23.25" customHeight="1" x14ac:dyDescent="0.15">
      <c r="A41" s="33"/>
      <c r="B41" s="189"/>
      <c r="C41" s="34"/>
      <c r="D41" s="80" t="s">
        <v>35</v>
      </c>
      <c r="E41" s="92"/>
      <c r="F41" s="93"/>
      <c r="G41" s="191"/>
      <c r="H41" s="26"/>
      <c r="I41" s="35"/>
    </row>
    <row r="42" spans="1:9" ht="23.25" customHeight="1" x14ac:dyDescent="0.15">
      <c r="A42" s="33"/>
      <c r="B42" s="189"/>
      <c r="C42" s="34"/>
      <c r="D42" s="80" t="s">
        <v>36</v>
      </c>
      <c r="E42" s="92"/>
      <c r="F42" s="93"/>
      <c r="G42" s="191"/>
      <c r="H42" s="26"/>
      <c r="I42" s="35"/>
    </row>
    <row r="43" spans="1:9" ht="23.25" customHeight="1" x14ac:dyDescent="0.15">
      <c r="A43" s="33"/>
      <c r="B43" s="189"/>
      <c r="C43" s="34"/>
      <c r="D43" s="80" t="s">
        <v>37</v>
      </c>
      <c r="E43" s="92"/>
      <c r="F43" s="93"/>
      <c r="G43" s="192"/>
      <c r="H43" s="26"/>
      <c r="I43" s="35"/>
    </row>
    <row r="44" spans="1:9" ht="4.5" customHeight="1" x14ac:dyDescent="0.15">
      <c r="A44" s="33"/>
      <c r="B44" s="32"/>
      <c r="C44" s="32"/>
      <c r="D44" s="37"/>
      <c r="E44" s="96"/>
      <c r="F44" s="96"/>
      <c r="G44" s="37"/>
      <c r="H44" s="57"/>
      <c r="I44" s="35"/>
    </row>
    <row r="45" spans="1:9" ht="12.75" customHeight="1" x14ac:dyDescent="0.15">
      <c r="A45" s="33"/>
      <c r="B45" s="189" t="s">
        <v>38</v>
      </c>
      <c r="C45" s="34"/>
      <c r="D45" s="84" t="s">
        <v>39</v>
      </c>
      <c r="E45" s="92"/>
      <c r="F45" s="93"/>
      <c r="G45" s="190" t="b">
        <f>IF(AND(E47="Ja",E48="Ja",E49="Ja"),"Eingabe prüfen!",IF(AND(E47="Ja",E48="Ja"),"Eingabe prüfen!",IF(AND(E47="Ja",E49="Ja"),"Eingabe prüfen!",IF(AND(E48="Ja",E49="Ja"),"Eingabe prüfen!",IF(AND(E45="Nein",E47="Ja"),"Eingabe prüfen!",IF(AND(E45="Nein",E48="Ja"),"Eingabe prüfen!",IF(AND(E45="Nein",E49="Ja"),"Eingabe prüfen!",IF(AND(E45="Ja",E47="Nein",E48="Nein",E49="Nein"),"Eingabe prüfen!",IF(OR(E45="Nein",E47="Ja"),"Normal",IF(E48="Ja","Hoch",IF(E49="Ja","Sehr hoch")))))))))))</f>
        <v>0</v>
      </c>
      <c r="H45" s="26"/>
      <c r="I45" s="35"/>
    </row>
    <row r="46" spans="1:9" ht="12.75" customHeight="1" x14ac:dyDescent="0.15">
      <c r="A46" s="33"/>
      <c r="B46" s="189"/>
      <c r="C46" s="34"/>
      <c r="D46" s="80" t="s">
        <v>64</v>
      </c>
      <c r="E46" s="94"/>
      <c r="F46" s="95"/>
      <c r="G46" s="191"/>
      <c r="H46" s="26"/>
      <c r="I46" s="35"/>
    </row>
    <row r="47" spans="1:9" ht="12.75" customHeight="1" x14ac:dyDescent="0.15">
      <c r="A47" s="33"/>
      <c r="B47" s="189"/>
      <c r="C47" s="34"/>
      <c r="D47" s="80" t="s">
        <v>41</v>
      </c>
      <c r="E47" s="92"/>
      <c r="F47" s="93"/>
      <c r="G47" s="191"/>
      <c r="H47" s="26"/>
      <c r="I47" s="35"/>
    </row>
    <row r="48" spans="1:9" ht="23" customHeight="1" x14ac:dyDescent="0.15">
      <c r="A48" s="33"/>
      <c r="B48" s="189"/>
      <c r="C48" s="34"/>
      <c r="D48" s="80" t="s">
        <v>42</v>
      </c>
      <c r="E48" s="92"/>
      <c r="F48" s="93"/>
      <c r="G48" s="191"/>
      <c r="H48" s="26"/>
      <c r="I48" s="35"/>
    </row>
    <row r="49" spans="1:9" ht="24" customHeight="1" x14ac:dyDescent="0.15">
      <c r="A49" s="33"/>
      <c r="B49" s="189"/>
      <c r="C49" s="34"/>
      <c r="D49" s="80" t="s">
        <v>43</v>
      </c>
      <c r="E49" s="92"/>
      <c r="F49" s="93"/>
      <c r="G49" s="192"/>
      <c r="H49" s="26"/>
      <c r="I49" s="35"/>
    </row>
    <row r="50" spans="1:9" ht="4.5" customHeight="1" x14ac:dyDescent="0.15">
      <c r="A50" s="33"/>
      <c r="B50" s="32"/>
      <c r="C50" s="32"/>
      <c r="D50" s="37"/>
      <c r="E50" s="96"/>
      <c r="F50" s="96"/>
      <c r="G50" s="37"/>
      <c r="H50" s="57"/>
      <c r="I50" s="35"/>
    </row>
    <row r="51" spans="1:9" ht="26" x14ac:dyDescent="0.15">
      <c r="A51" s="33"/>
      <c r="B51" s="189" t="s">
        <v>44</v>
      </c>
      <c r="C51" s="34"/>
      <c r="D51" s="84" t="s">
        <v>65</v>
      </c>
      <c r="E51" s="92"/>
      <c r="F51" s="93"/>
      <c r="G51" s="190" t="b">
        <f>IF(AND(E51="Nein",E52="Ja"),"Eingabe prüfen",IF(E51="Nein","Normal",IF(AND(E51="Ja",E52="Nein"),"Hoch",IF(AND(E51="Ja",E52="Ja"),"Sehr hoch"))))</f>
        <v>0</v>
      </c>
      <c r="H51" s="26"/>
      <c r="I51" s="35"/>
    </row>
    <row r="52" spans="1:9" ht="26" x14ac:dyDescent="0.15">
      <c r="A52" s="33"/>
      <c r="B52" s="189"/>
      <c r="C52" s="34"/>
      <c r="D52" s="80" t="s">
        <v>66</v>
      </c>
      <c r="E52" s="92"/>
      <c r="F52" s="93"/>
      <c r="G52" s="191"/>
      <c r="H52" s="26"/>
      <c r="I52" s="35"/>
    </row>
    <row r="53" spans="1:9" ht="4.5" customHeight="1" x14ac:dyDescent="0.15">
      <c r="A53" s="33"/>
      <c r="B53" s="32"/>
      <c r="C53" s="32"/>
      <c r="D53" s="37"/>
      <c r="E53" s="96"/>
      <c r="F53" s="96"/>
      <c r="G53" s="37"/>
      <c r="H53" s="57"/>
      <c r="I53" s="35"/>
    </row>
    <row r="54" spans="1:9" ht="12.75" customHeight="1" x14ac:dyDescent="0.15">
      <c r="A54" s="33"/>
      <c r="B54" s="189" t="s">
        <v>46</v>
      </c>
      <c r="C54" s="34"/>
      <c r="D54" s="84" t="s">
        <v>67</v>
      </c>
      <c r="E54" s="92"/>
      <c r="F54" s="93"/>
      <c r="G54" s="190" t="b">
        <f>IF(AND(E56="Ja",E57="Ja",E58="Ja"),"Eingabe prüfen!",IF(AND(E56="Ja",E57="Ja"),"Eingabe prüfen!",IF(AND(E56="Ja",E58="Ja"),"Eingabe prüfen!",IF(AND(E57="Ja",E58="Ja"),"Eingabe prüfen!",IF(AND(E54="Nein",E56="Ja"),"Eingabe prüfen!",IF(AND(E54="Nein",E57="Ja"),"Eingabe prüfen!",IF(AND(E54="Nein",E58="Ja"),"Eingabe prüfen!",IF(AND(E54="Ja",E56="Nein",E57="Nein",E58="Nein"),"Eingabe prüfen!",IF(OR(E54="Nein",E56="Ja"),"Normal",IF(E57="Ja","Hoch",IF(E58="Ja","Sehr hoch")))))))))))</f>
        <v>0</v>
      </c>
      <c r="H54" s="26"/>
      <c r="I54" s="35"/>
    </row>
    <row r="55" spans="1:9" ht="12.75" customHeight="1" x14ac:dyDescent="0.15">
      <c r="A55" s="33"/>
      <c r="B55" s="189"/>
      <c r="C55" s="34"/>
      <c r="D55" s="80" t="s">
        <v>68</v>
      </c>
      <c r="E55" s="94"/>
      <c r="F55" s="95"/>
      <c r="G55" s="191"/>
      <c r="H55" s="26"/>
      <c r="I55" s="35"/>
    </row>
    <row r="56" spans="1:9" ht="26" x14ac:dyDescent="0.15">
      <c r="A56" s="33"/>
      <c r="B56" s="189"/>
      <c r="C56" s="34"/>
      <c r="D56" s="80" t="s">
        <v>69</v>
      </c>
      <c r="E56" s="92"/>
      <c r="F56" s="93"/>
      <c r="G56" s="191"/>
      <c r="H56" s="26"/>
      <c r="I56" s="35"/>
    </row>
    <row r="57" spans="1:9" ht="26" x14ac:dyDescent="0.15">
      <c r="A57" s="33"/>
      <c r="B57" s="189"/>
      <c r="C57" s="34"/>
      <c r="D57" s="80" t="s">
        <v>50</v>
      </c>
      <c r="E57" s="92"/>
      <c r="F57" s="93"/>
      <c r="G57" s="191"/>
      <c r="H57" s="26"/>
      <c r="I57" s="35"/>
    </row>
    <row r="58" spans="1:9" ht="26" x14ac:dyDescent="0.15">
      <c r="A58" s="33"/>
      <c r="B58" s="189"/>
      <c r="C58" s="34"/>
      <c r="D58" s="80" t="s">
        <v>51</v>
      </c>
      <c r="E58" s="92"/>
      <c r="F58" s="93"/>
      <c r="G58" s="192"/>
      <c r="H58" s="26"/>
      <c r="I58" s="35"/>
    </row>
    <row r="59" spans="1:9" ht="4.5" customHeight="1" x14ac:dyDescent="0.15">
      <c r="A59" s="33"/>
      <c r="B59" s="32"/>
      <c r="C59" s="32"/>
      <c r="D59" s="37"/>
      <c r="E59" s="96"/>
      <c r="F59" s="96"/>
      <c r="G59" s="37"/>
      <c r="H59" s="57"/>
      <c r="I59" s="35"/>
    </row>
    <row r="60" spans="1:9" x14ac:dyDescent="0.15">
      <c r="A60" s="33"/>
      <c r="B60" s="189" t="s">
        <v>52</v>
      </c>
      <c r="C60" s="34"/>
      <c r="D60" s="80" t="s">
        <v>53</v>
      </c>
      <c r="E60" s="92"/>
      <c r="F60" s="93"/>
      <c r="G60" s="190" t="b">
        <f>IF(AND(E62="Ja",E63="Ja",E64="Ja"),"Eingabe prüfen!",IF(AND(E62="Ja",E63="Ja"),"Eingabe prüfen!",IF(AND(E62="Ja",E64="Ja"),"Eingabe prüfen!",IF(AND(E63="Ja",E64="Ja"),"Eingabe prüfen",IF(AND(E60="Nein",E62="Ja"),"Eingabe prüfen!",IF(AND(E60="Nein",E63="Ja"),"Eingabe prüfen!",IF(AND(E60="Nein",E64="Ja"),"Eingabe prüfen!",IF(AND(E60="Ja",E62="Nein",E63="Nein",E64="Nein"),"Eingabe prüfen",IF(OR(E60="Nein",E62="Ja"),"Normal",IF(E63="Ja","Hoch",IF(E64="Ja","Sehr hoch")))))))))))</f>
        <v>0</v>
      </c>
      <c r="H60" s="26"/>
      <c r="I60" s="35"/>
    </row>
    <row r="61" spans="1:9" ht="12.75" customHeight="1" x14ac:dyDescent="0.15">
      <c r="A61" s="33"/>
      <c r="B61" s="189"/>
      <c r="C61" s="34"/>
      <c r="D61" s="80" t="s">
        <v>63</v>
      </c>
      <c r="E61" s="94"/>
      <c r="F61" s="95"/>
      <c r="G61" s="191"/>
      <c r="H61" s="26"/>
      <c r="I61" s="35"/>
    </row>
    <row r="62" spans="1:9" x14ac:dyDescent="0.15">
      <c r="A62" s="33"/>
      <c r="B62" s="189"/>
      <c r="C62" s="34"/>
      <c r="D62" s="80" t="s">
        <v>54</v>
      </c>
      <c r="E62" s="92"/>
      <c r="F62" s="93"/>
      <c r="G62" s="191"/>
      <c r="H62" s="26"/>
      <c r="I62" s="35"/>
    </row>
    <row r="63" spans="1:9" ht="26" x14ac:dyDescent="0.15">
      <c r="A63" s="33"/>
      <c r="B63" s="189"/>
      <c r="C63" s="34"/>
      <c r="D63" s="80" t="s">
        <v>55</v>
      </c>
      <c r="E63" s="92"/>
      <c r="F63" s="93"/>
      <c r="G63" s="191"/>
      <c r="H63" s="26"/>
      <c r="I63" s="35"/>
    </row>
    <row r="64" spans="1:9" ht="26" x14ac:dyDescent="0.15">
      <c r="A64" s="33"/>
      <c r="B64" s="189"/>
      <c r="C64" s="34"/>
      <c r="D64" s="80" t="s">
        <v>56</v>
      </c>
      <c r="E64" s="92"/>
      <c r="F64" s="93"/>
      <c r="G64" s="192"/>
      <c r="H64" s="26"/>
      <c r="I64" s="35"/>
    </row>
    <row r="65" spans="1:9" ht="4.5" customHeight="1" x14ac:dyDescent="0.15">
      <c r="A65" s="33"/>
      <c r="B65" s="32"/>
      <c r="C65" s="32"/>
      <c r="D65" s="36"/>
      <c r="E65" s="96"/>
      <c r="F65" s="96"/>
      <c r="G65" s="37"/>
      <c r="H65" s="57"/>
      <c r="I65" s="35"/>
    </row>
    <row r="66" spans="1:9" x14ac:dyDescent="0.15">
      <c r="A66" s="33"/>
      <c r="B66" s="189" t="s">
        <v>57</v>
      </c>
      <c r="C66" s="34"/>
      <c r="D66" s="80" t="s">
        <v>53</v>
      </c>
      <c r="E66" s="92"/>
      <c r="F66" s="93"/>
      <c r="G66" s="190" t="b">
        <f>IF(AND(E68="Ja",E69="Ja",E70="Ja"),"Eingabe prüfen!",IF(AND(E68="Ja",E69="Ja"),"Eingabe prüfen!",IF(AND(E68="Ja",E70="Ja"),"Eingabe prüfen!",IF(AND(E69="Ja",E70="Ja"),"Eingabe prüfen",IF(AND(E66="Nein",E68="Ja"),"Eingabe prüfen!",IF(AND(E66="Nein",E69="Ja"),"Eingabe prüfen!",IF(AND(E66="Nein",E70="Ja"),"Eingabe prüfen!",IF(AND(E66="Ja",E68="Nein",E69="Nein",E70="Nein"),"Eingabe prüfen",IF(OR(E66="Nein",E68="Ja"),"Normal",IF(E69="Ja","Hoch",IF(E70="Ja","Sehr hoch")))))))))))</f>
        <v>0</v>
      </c>
      <c r="H66" s="26"/>
      <c r="I66" s="35"/>
    </row>
    <row r="67" spans="1:9" ht="12.75" customHeight="1" x14ac:dyDescent="0.15">
      <c r="A67" s="33"/>
      <c r="B67" s="189"/>
      <c r="C67" s="34"/>
      <c r="D67" s="80" t="s">
        <v>63</v>
      </c>
      <c r="E67" s="94"/>
      <c r="F67" s="95"/>
      <c r="G67" s="191"/>
      <c r="H67" s="26"/>
      <c r="I67" s="35"/>
    </row>
    <row r="68" spans="1:9" x14ac:dyDescent="0.15">
      <c r="A68" s="33"/>
      <c r="B68" s="189"/>
      <c r="C68" s="34"/>
      <c r="D68" s="80" t="s">
        <v>58</v>
      </c>
      <c r="E68" s="92"/>
      <c r="F68" s="93"/>
      <c r="G68" s="191"/>
      <c r="H68" s="26"/>
      <c r="I68" s="35"/>
    </row>
    <row r="69" spans="1:9" x14ac:dyDescent="0.15">
      <c r="A69" s="33"/>
      <c r="B69" s="189"/>
      <c r="C69" s="34"/>
      <c r="D69" s="80" t="s">
        <v>59</v>
      </c>
      <c r="E69" s="92"/>
      <c r="F69" s="93"/>
      <c r="G69" s="191"/>
      <c r="H69" s="26"/>
      <c r="I69" s="35"/>
    </row>
    <row r="70" spans="1:9" x14ac:dyDescent="0.15">
      <c r="A70" s="33"/>
      <c r="B70" s="189"/>
      <c r="C70" s="34"/>
      <c r="D70" s="80" t="s">
        <v>60</v>
      </c>
      <c r="E70" s="92"/>
      <c r="F70" s="93"/>
      <c r="G70" s="192"/>
      <c r="H70" s="26"/>
      <c r="I70" s="35"/>
    </row>
    <row r="71" spans="1:9" ht="4.5" customHeight="1" x14ac:dyDescent="0.15">
      <c r="A71" s="33"/>
      <c r="B71" s="32"/>
      <c r="C71" s="32"/>
      <c r="D71" s="38"/>
      <c r="E71" s="38"/>
      <c r="F71" s="38"/>
      <c r="G71" s="38"/>
      <c r="H71" s="39"/>
      <c r="I71" s="39"/>
    </row>
    <row r="74" spans="1:9" ht="16" x14ac:dyDescent="0.15">
      <c r="A74" s="69"/>
      <c r="B74" s="70" t="s">
        <v>70</v>
      </c>
      <c r="C74" s="69"/>
      <c r="D74" s="69"/>
      <c r="E74" s="193" t="str">
        <f>IF(Hilfstabelle!F10=6,"Normal", IF(Hilfstabelle!F10&gt;=1000,"Sehr hoch",IF(Hilfstabelle!F10&gt;=10,"Hoch","Bitte Spalte E ausfüllen")))</f>
        <v>Bitte Spalte E ausfüllen</v>
      </c>
      <c r="F74" s="193"/>
      <c r="G74" s="193"/>
      <c r="H74" s="69"/>
      <c r="I74" s="71"/>
    </row>
    <row r="75" spans="1:9" s="49" customFormat="1" ht="15.75" customHeight="1" x14ac:dyDescent="0.15">
      <c r="A75" s="72"/>
      <c r="B75" s="74" t="s">
        <v>26</v>
      </c>
      <c r="C75" s="75"/>
      <c r="D75" s="74" t="s">
        <v>27</v>
      </c>
      <c r="E75" s="74" t="s">
        <v>28</v>
      </c>
      <c r="F75" s="74" t="s">
        <v>29</v>
      </c>
      <c r="G75" s="74" t="s">
        <v>30</v>
      </c>
      <c r="H75" s="47" t="s">
        <v>31</v>
      </c>
      <c r="I75" s="73"/>
    </row>
    <row r="76" spans="1:9" ht="26" x14ac:dyDescent="0.15">
      <c r="A76" s="62"/>
      <c r="B76" s="185" t="s">
        <v>32</v>
      </c>
      <c r="C76" s="76"/>
      <c r="D76" s="85" t="s">
        <v>71</v>
      </c>
      <c r="E76" s="97"/>
      <c r="F76" s="98"/>
      <c r="G76" s="194" t="b">
        <f>IF(AND(E78="Ja",E79="Ja",E80="Ja"),"Eingabe prüfen!",IF(AND(E78="Ja",E79="Ja"),"Eingabe prüfen!",IF(AND(E78="Ja",E80="Ja"),"Eingabe prüfen!",IF(AND(E79="Ja",E80="Ja"),"Eingabe prüfen!",IF(AND(E76="Nein",E78="Ja"),"Eingabe prüfen!",IF(AND(E76="Nein",E79="Ja"),"Eingabe prüfen!",IF(AND(E76="Nein",E80="Ja"),"Eingabe prüfen!",IF(AND(E76="Ja",E78="Nein",E79="Nein",E80="Nein"),"Eingabe prüfen!",IF(OR(E76="Nein",E78="Ja"),"Normal",IF(E79="Ja","Hoch",IF(E80="Ja","Sehr hoch")))))))))))</f>
        <v>0</v>
      </c>
      <c r="H76" s="26"/>
      <c r="I76" s="67"/>
    </row>
    <row r="77" spans="1:9" x14ac:dyDescent="0.15">
      <c r="A77" s="62"/>
      <c r="B77" s="185"/>
      <c r="C77" s="76"/>
      <c r="D77" s="85" t="s">
        <v>72</v>
      </c>
      <c r="E77" s="99"/>
      <c r="F77" s="100"/>
      <c r="G77" s="195"/>
      <c r="H77" s="26"/>
      <c r="I77" s="67"/>
    </row>
    <row r="78" spans="1:9" ht="26" x14ac:dyDescent="0.15">
      <c r="A78" s="62"/>
      <c r="B78" s="185"/>
      <c r="C78" s="76"/>
      <c r="D78" s="85" t="s">
        <v>35</v>
      </c>
      <c r="E78" s="97"/>
      <c r="F78" s="98"/>
      <c r="G78" s="195"/>
      <c r="H78" s="26"/>
      <c r="I78" s="67"/>
    </row>
    <row r="79" spans="1:9" ht="23.25" customHeight="1" x14ac:dyDescent="0.15">
      <c r="A79" s="62"/>
      <c r="B79" s="185"/>
      <c r="C79" s="76"/>
      <c r="D79" s="85" t="s">
        <v>36</v>
      </c>
      <c r="E79" s="97"/>
      <c r="F79" s="98"/>
      <c r="G79" s="195"/>
      <c r="H79" s="26"/>
      <c r="I79" s="67"/>
    </row>
    <row r="80" spans="1:9" ht="23.25" customHeight="1" x14ac:dyDescent="0.15">
      <c r="A80" s="62"/>
      <c r="B80" s="185"/>
      <c r="C80" s="76"/>
      <c r="D80" s="85" t="s">
        <v>37</v>
      </c>
      <c r="E80" s="97"/>
      <c r="F80" s="98"/>
      <c r="G80" s="196"/>
      <c r="H80" s="26"/>
      <c r="I80" s="67"/>
    </row>
    <row r="81" spans="1:9" ht="4.5" customHeight="1" x14ac:dyDescent="0.15">
      <c r="A81" s="62"/>
      <c r="B81" s="63"/>
      <c r="C81" s="63"/>
      <c r="D81" s="66"/>
      <c r="E81" s="101"/>
      <c r="F81" s="101"/>
      <c r="G81" s="66"/>
      <c r="H81" s="67"/>
      <c r="I81" s="67"/>
    </row>
    <row r="82" spans="1:9" ht="12.75" customHeight="1" x14ac:dyDescent="0.15">
      <c r="A82" s="62"/>
      <c r="B82" s="185" t="s">
        <v>38</v>
      </c>
      <c r="C82" s="76"/>
      <c r="D82" s="86" t="s">
        <v>39</v>
      </c>
      <c r="E82" s="97"/>
      <c r="F82" s="98"/>
      <c r="G82" s="186" t="b">
        <f>IF(AND(E84="Ja",E85="Ja",E86="Ja"),"Eingabe prüfen!",IF(AND(E84="Ja",E85="Ja"),"Eingabe prüfen!",IF(AND(E84="Ja",E86="Ja"),"Eingabe prüfen!",IF(AND(E85="Ja",E86="Ja"),"Eingabe prüfen!",IF(AND(E82="Nein",E84="Ja"),"Eingabe prüfen!",IF(AND(E82="Nein",E85="Ja"),"Eingabe prüfen!",IF(AND(E82="Nein",E86="Ja"),"Eingabe prüfen!",IF(AND(E82="Ja",E84="Nein",E85="Nein",E86="Nein"),"Eingabe prüfen!",IF(OR(E82="Nein",E84="Ja"),"Normal",IF(E85="Ja","Hoch",IF(E86="Ja","Sehr hoch")))))))))))</f>
        <v>0</v>
      </c>
      <c r="H82" s="26"/>
      <c r="I82" s="67"/>
    </row>
    <row r="83" spans="1:9" ht="12.75" customHeight="1" x14ac:dyDescent="0.15">
      <c r="A83" s="62"/>
      <c r="B83" s="185"/>
      <c r="C83" s="76"/>
      <c r="D83" s="85" t="s">
        <v>73</v>
      </c>
      <c r="E83" s="99"/>
      <c r="F83" s="100"/>
      <c r="G83" s="187"/>
      <c r="H83" s="26"/>
      <c r="I83" s="67"/>
    </row>
    <row r="84" spans="1:9" x14ac:dyDescent="0.15">
      <c r="A84" s="62"/>
      <c r="B84" s="185"/>
      <c r="C84" s="76"/>
      <c r="D84" s="85" t="s">
        <v>74</v>
      </c>
      <c r="E84" s="97"/>
      <c r="F84" s="98"/>
      <c r="G84" s="187"/>
      <c r="H84" s="26"/>
      <c r="I84" s="67"/>
    </row>
    <row r="85" spans="1:9" ht="23" customHeight="1" x14ac:dyDescent="0.15">
      <c r="A85" s="62"/>
      <c r="B85" s="185"/>
      <c r="C85" s="76"/>
      <c r="D85" s="85" t="s">
        <v>42</v>
      </c>
      <c r="E85" s="97"/>
      <c r="F85" s="98"/>
      <c r="G85" s="187"/>
      <c r="H85" s="26"/>
      <c r="I85" s="67"/>
    </row>
    <row r="86" spans="1:9" ht="26" x14ac:dyDescent="0.15">
      <c r="A86" s="62"/>
      <c r="B86" s="185"/>
      <c r="C86" s="76"/>
      <c r="D86" s="85" t="s">
        <v>43</v>
      </c>
      <c r="E86" s="97"/>
      <c r="F86" s="98"/>
      <c r="G86" s="188"/>
      <c r="H86" s="26"/>
      <c r="I86" s="67"/>
    </row>
    <row r="87" spans="1:9" ht="4.5" customHeight="1" x14ac:dyDescent="0.15">
      <c r="A87" s="62"/>
      <c r="B87" s="63"/>
      <c r="C87" s="76"/>
      <c r="D87" s="62"/>
      <c r="E87" s="62"/>
      <c r="F87" s="62"/>
      <c r="G87" s="62"/>
      <c r="H87" s="67"/>
      <c r="I87" s="67"/>
    </row>
    <row r="88" spans="1:9" ht="23" customHeight="1" x14ac:dyDescent="0.15">
      <c r="A88" s="62"/>
      <c r="B88" s="185" t="s">
        <v>44</v>
      </c>
      <c r="C88" s="76"/>
      <c r="D88" s="84" t="s">
        <v>65</v>
      </c>
      <c r="E88" s="92"/>
      <c r="F88" s="93"/>
      <c r="G88" s="190" t="b">
        <f>IF(AND(E88="Nein",E89="Ja"),"Eingabe prüfen",IF(E88="Nein","Normal",IF(AND(E88="Ja",E89="Nein"),"Hoch",IF(AND(E88="Ja",E89="Ja"),"Sehr hoch"))))</f>
        <v>0</v>
      </c>
      <c r="H88" s="26"/>
      <c r="I88" s="67"/>
    </row>
    <row r="89" spans="1:9" ht="26" x14ac:dyDescent="0.15">
      <c r="A89" s="62"/>
      <c r="B89" s="185"/>
      <c r="C89" s="76"/>
      <c r="D89" s="80" t="s">
        <v>66</v>
      </c>
      <c r="E89" s="92"/>
      <c r="F89" s="93"/>
      <c r="G89" s="191"/>
      <c r="H89" s="26"/>
      <c r="I89" s="67"/>
    </row>
    <row r="90" spans="1:9" ht="4.5" customHeight="1" x14ac:dyDescent="0.15">
      <c r="A90" s="62"/>
      <c r="B90" s="62"/>
      <c r="C90" s="62"/>
      <c r="D90" s="62"/>
      <c r="E90" s="62"/>
      <c r="F90" s="62"/>
      <c r="G90" s="62"/>
      <c r="H90" s="62"/>
      <c r="I90" s="62"/>
    </row>
    <row r="91" spans="1:9" ht="12.75" customHeight="1" x14ac:dyDescent="0.15">
      <c r="A91" s="62"/>
      <c r="B91" s="185" t="s">
        <v>46</v>
      </c>
      <c r="C91" s="76"/>
      <c r="D91" s="86" t="s">
        <v>75</v>
      </c>
      <c r="E91" s="97"/>
      <c r="F91" s="98"/>
      <c r="G91" s="186" t="b">
        <f>IF(AND(E93="Ja",E94="Ja",E95="Ja"),"Eingabe prüfen!",IF(AND(E93="Ja",E94="Ja"),"Eingabe prüfen!",IF(AND(E93="Ja",E95="Ja"),"Eingabe prüfen!",IF(AND(E94="Ja",E95="Ja"),"Eingabe prüfen!",IF(AND(E91="Nein",E93="Ja"),"Eingabe prüfen!",IF(AND(E91="Nein",E94="Ja"),"Eingabe prüfen!",IF(AND(E91="Nein",E95="Ja"),"Eingabe prüfen!",IF(AND(E91="ja",E93="Nein",E94="Nein",E95="Nein"),"Eingabe prüfen!",IF(OR(E91="Nein",E93="Ja"),"Normal",IF(E94="Ja","Hoch",IF(E95="Ja","Sehr hoch")))))))))))</f>
        <v>0</v>
      </c>
      <c r="H91" s="26"/>
      <c r="I91" s="67"/>
    </row>
    <row r="92" spans="1:9" ht="12.75" customHeight="1" x14ac:dyDescent="0.15">
      <c r="A92" s="62"/>
      <c r="B92" s="185"/>
      <c r="C92" s="76"/>
      <c r="D92" s="85" t="s">
        <v>76</v>
      </c>
      <c r="E92" s="99"/>
      <c r="F92" s="100"/>
      <c r="G92" s="187"/>
      <c r="H92" s="26"/>
      <c r="I92" s="67"/>
    </row>
    <row r="93" spans="1:9" ht="26" x14ac:dyDescent="0.15">
      <c r="A93" s="62"/>
      <c r="B93" s="185"/>
      <c r="C93" s="76"/>
      <c r="D93" s="85" t="s">
        <v>77</v>
      </c>
      <c r="E93" s="97"/>
      <c r="F93" s="98"/>
      <c r="G93" s="187"/>
      <c r="H93" s="26"/>
      <c r="I93" s="67"/>
    </row>
    <row r="94" spans="1:9" ht="23.25" customHeight="1" x14ac:dyDescent="0.15">
      <c r="A94" s="62"/>
      <c r="B94" s="185"/>
      <c r="C94" s="76"/>
      <c r="D94" s="85" t="s">
        <v>78</v>
      </c>
      <c r="E94" s="97"/>
      <c r="F94" s="98"/>
      <c r="G94" s="187"/>
      <c r="H94" s="26"/>
      <c r="I94" s="67"/>
    </row>
    <row r="95" spans="1:9" ht="26" x14ac:dyDescent="0.15">
      <c r="A95" s="62"/>
      <c r="B95" s="185"/>
      <c r="C95" s="76"/>
      <c r="D95" s="85" t="s">
        <v>79</v>
      </c>
      <c r="E95" s="97"/>
      <c r="F95" s="98"/>
      <c r="G95" s="188"/>
      <c r="H95" s="26"/>
      <c r="I95" s="67"/>
    </row>
    <row r="96" spans="1:9" ht="4.5" customHeight="1" x14ac:dyDescent="0.15">
      <c r="A96" s="62"/>
      <c r="B96" s="63"/>
      <c r="C96" s="63"/>
      <c r="D96" s="66"/>
      <c r="E96" s="101"/>
      <c r="F96" s="101"/>
      <c r="G96" s="66"/>
      <c r="H96" s="67"/>
      <c r="I96" s="67"/>
    </row>
    <row r="97" spans="1:9" x14ac:dyDescent="0.15">
      <c r="A97" s="62"/>
      <c r="B97" s="185" t="s">
        <v>52</v>
      </c>
      <c r="C97" s="76"/>
      <c r="D97" s="85" t="s">
        <v>53</v>
      </c>
      <c r="E97" s="97"/>
      <c r="F97" s="98"/>
      <c r="G97" s="186" t="b">
        <f>IF(AND(E99="Ja",E100="Ja",E101="Ja"),"Eingabe prüfen!",IF(AND(E99="Ja",E100="Ja"),"Eingabe prüfen!",IF(AND(E99="Ja",E101="Ja"),"Eingabe prüfen!",IF(AND(E100="Ja",E101="Ja"),"Eingabe prüfen",IF(AND(E97="Nein",E99="Ja"),"Eingabe prüfen!",IF(AND(E97="Nein",E100="Ja"),"Eingabe prüfen!",IF(AND(E97="Nein",E101="Ja"),"Eingabe prüfen!",IF(AND(E97="Ja",E99="Nein",E100="Nein",E101="Nein"),"Eingabe prüfen",IF(OR(E97="Nein",E99="Ja"),"Normal",IF(E100="Ja","Hoch",IF(E101="Ja","Sehr hoch")))))))))))</f>
        <v>0</v>
      </c>
      <c r="H97" s="26"/>
      <c r="I97" s="67"/>
    </row>
    <row r="98" spans="1:9" ht="12.75" customHeight="1" x14ac:dyDescent="0.15">
      <c r="A98" s="62"/>
      <c r="B98" s="185"/>
      <c r="C98" s="76"/>
      <c r="D98" s="85" t="s">
        <v>72</v>
      </c>
      <c r="E98" s="99"/>
      <c r="F98" s="100"/>
      <c r="G98" s="187"/>
      <c r="H98" s="26"/>
      <c r="I98" s="67"/>
    </row>
    <row r="99" spans="1:9" x14ac:dyDescent="0.15">
      <c r="A99" s="62"/>
      <c r="B99" s="185"/>
      <c r="C99" s="76"/>
      <c r="D99" s="85" t="s">
        <v>54</v>
      </c>
      <c r="E99" s="97"/>
      <c r="F99" s="98"/>
      <c r="G99" s="187"/>
      <c r="H99" s="26"/>
      <c r="I99" s="67"/>
    </row>
    <row r="100" spans="1:9" ht="26" x14ac:dyDescent="0.15">
      <c r="A100" s="62"/>
      <c r="B100" s="185"/>
      <c r="C100" s="76"/>
      <c r="D100" s="85" t="s">
        <v>55</v>
      </c>
      <c r="E100" s="97"/>
      <c r="F100" s="98"/>
      <c r="G100" s="187"/>
      <c r="H100" s="26"/>
      <c r="I100" s="67"/>
    </row>
    <row r="101" spans="1:9" ht="26" x14ac:dyDescent="0.15">
      <c r="A101" s="62"/>
      <c r="B101" s="185"/>
      <c r="C101" s="76"/>
      <c r="D101" s="85" t="s">
        <v>56</v>
      </c>
      <c r="E101" s="97"/>
      <c r="F101" s="98"/>
      <c r="G101" s="188"/>
      <c r="H101" s="26"/>
      <c r="I101" s="67"/>
    </row>
    <row r="102" spans="1:9" ht="4.5" customHeight="1" x14ac:dyDescent="0.15">
      <c r="A102" s="62"/>
      <c r="B102" s="63"/>
      <c r="C102" s="63"/>
      <c r="D102" s="68"/>
      <c r="E102" s="101"/>
      <c r="F102" s="101"/>
      <c r="G102" s="66"/>
      <c r="H102" s="67"/>
      <c r="I102" s="67"/>
    </row>
    <row r="103" spans="1:9" x14ac:dyDescent="0.15">
      <c r="A103" s="62"/>
      <c r="B103" s="185" t="s">
        <v>57</v>
      </c>
      <c r="C103" s="76"/>
      <c r="D103" s="85" t="s">
        <v>53</v>
      </c>
      <c r="E103" s="97"/>
      <c r="F103" s="98"/>
      <c r="G103" s="186" t="b">
        <f>IF(AND(E105="Ja",E106="Ja",E107="Ja"),"Eingabe prüfen!",IF(AND(E105="Ja",E106="Ja"),"Eingabe prüfen!",IF(AND(E105="Ja",E107="Ja"),"Eingabe prüfen!",IF(AND(E106="Ja",E107="Ja"),"Eingabe prüfen!",IF(AND(E103="Nein",E105="Ja"),"Eingabe prüfen!",IF(AND(E103="Nein",E106="Ja"),"Eingabe prüfen!",IF(AND(E103="Nein",E107="Ja"),"Eingabe prüfen!",IF(AND(E103="Ja",E105="Nein",E106="Nein",E107="Nein"),"Eingabe prüfen!",IF(OR(E103="Nein",E105="Ja"),"Normal",IF(E106="Ja","Hoch",IF(E107="Ja","Sehr hoch")))))))))))</f>
        <v>0</v>
      </c>
      <c r="H103" s="26"/>
      <c r="I103" s="67"/>
    </row>
    <row r="104" spans="1:9" ht="12.75" customHeight="1" x14ac:dyDescent="0.15">
      <c r="A104" s="62"/>
      <c r="B104" s="185"/>
      <c r="C104" s="76"/>
      <c r="D104" s="85" t="s">
        <v>72</v>
      </c>
      <c r="E104" s="99"/>
      <c r="F104" s="100"/>
      <c r="G104" s="187"/>
      <c r="H104" s="26"/>
      <c r="I104" s="67"/>
    </row>
    <row r="105" spans="1:9" x14ac:dyDescent="0.15">
      <c r="A105" s="62"/>
      <c r="B105" s="185"/>
      <c r="C105" s="76"/>
      <c r="D105" s="85" t="s">
        <v>58</v>
      </c>
      <c r="E105" s="97"/>
      <c r="F105" s="98"/>
      <c r="G105" s="187"/>
      <c r="H105" s="26"/>
      <c r="I105" s="67"/>
    </row>
    <row r="106" spans="1:9" x14ac:dyDescent="0.15">
      <c r="A106" s="62"/>
      <c r="B106" s="185"/>
      <c r="C106" s="76"/>
      <c r="D106" s="85" t="s">
        <v>59</v>
      </c>
      <c r="E106" s="97"/>
      <c r="F106" s="98"/>
      <c r="G106" s="187"/>
      <c r="H106" s="26"/>
      <c r="I106" s="67"/>
    </row>
    <row r="107" spans="1:9" x14ac:dyDescent="0.15">
      <c r="A107" s="62"/>
      <c r="B107" s="185"/>
      <c r="C107" s="76"/>
      <c r="D107" s="85" t="s">
        <v>60</v>
      </c>
      <c r="E107" s="97"/>
      <c r="F107" s="98"/>
      <c r="G107" s="188"/>
      <c r="H107" s="26"/>
      <c r="I107" s="67"/>
    </row>
    <row r="108" spans="1:9" ht="4.5" customHeight="1" x14ac:dyDescent="0.15">
      <c r="A108" s="62"/>
      <c r="B108" s="63"/>
      <c r="C108" s="63"/>
      <c r="D108" s="64"/>
      <c r="E108" s="64"/>
      <c r="F108" s="64"/>
      <c r="G108" s="64"/>
      <c r="H108" s="65"/>
      <c r="I108" s="65"/>
    </row>
  </sheetData>
  <mergeCells count="37">
    <mergeCell ref="G91:G95"/>
    <mergeCell ref="G3:G7"/>
    <mergeCell ref="B17:B21"/>
    <mergeCell ref="G17:G21"/>
    <mergeCell ref="B3:B7"/>
    <mergeCell ref="B29:B33"/>
    <mergeCell ref="G29:G33"/>
    <mergeCell ref="E37:G37"/>
    <mergeCell ref="B39:B43"/>
    <mergeCell ref="G39:G43"/>
    <mergeCell ref="B45:B49"/>
    <mergeCell ref="G45:G49"/>
    <mergeCell ref="B51:B52"/>
    <mergeCell ref="G51:G52"/>
    <mergeCell ref="B88:B89"/>
    <mergeCell ref="G88:G89"/>
    <mergeCell ref="E1:G1"/>
    <mergeCell ref="B9:B13"/>
    <mergeCell ref="G9:G13"/>
    <mergeCell ref="B23:B27"/>
    <mergeCell ref="G23:G27"/>
    <mergeCell ref="B97:B101"/>
    <mergeCell ref="G97:G101"/>
    <mergeCell ref="B103:B107"/>
    <mergeCell ref="G103:G107"/>
    <mergeCell ref="B54:B58"/>
    <mergeCell ref="G54:G58"/>
    <mergeCell ref="B60:B64"/>
    <mergeCell ref="G60:G64"/>
    <mergeCell ref="B66:B70"/>
    <mergeCell ref="G66:G70"/>
    <mergeCell ref="E74:G74"/>
    <mergeCell ref="B76:B80"/>
    <mergeCell ref="G76:G80"/>
    <mergeCell ref="B82:B86"/>
    <mergeCell ref="G82:G86"/>
    <mergeCell ref="B91:B95"/>
  </mergeCells>
  <conditionalFormatting sqref="E3 E5:E7 E9 E11:E13 E15 E17 E19:E21 E23 E25:E27 E29 E31:E33 E39 E41:E43 E45 E47:E49 E54 E56:E58 E60 E62:E64 E66 E68:E70 E76 E78:E80 E82 E84:E86 E91 E93:E95 E97 E99:E101 E103 E105:E107">
    <cfRule type="expression" dxfId="17" priority="26">
      <formula>IF(E3="nein",1,0)</formula>
    </cfRule>
  </conditionalFormatting>
  <conditionalFormatting sqref="E51:E52">
    <cfRule type="expression" dxfId="16" priority="14">
      <formula>IF(E51="nein",1,0)</formula>
    </cfRule>
  </conditionalFormatting>
  <conditionalFormatting sqref="E88:E89">
    <cfRule type="expression" dxfId="15" priority="3">
      <formula>IF(E88="nein",1,0)</formula>
    </cfRule>
  </conditionalFormatting>
  <conditionalFormatting sqref="G3:G33 G76:G86 G91:G107">
    <cfRule type="containsText" dxfId="14" priority="24" operator="containsText" text="0">
      <formula>NOT(ISERROR(SEARCH("0",G3)))</formula>
    </cfRule>
    <cfRule type="containsText" dxfId="13" priority="25" operator="containsText" text="FALSCH">
      <formula>NOT(ISERROR(SEARCH("FALSCH",G3)))</formula>
    </cfRule>
    <cfRule type="containsText" dxfId="12" priority="48" operator="containsText" text="Normal">
      <formula>NOT(ISERROR(SEARCH("Normal",G3)))</formula>
    </cfRule>
    <cfRule type="beginsWith" dxfId="11" priority="49" operator="beginsWith" text="Sehr">
      <formula>LEFT(G3,LEN("Sehr"))="Sehr"</formula>
    </cfRule>
    <cfRule type="containsText" dxfId="10" priority="50" operator="containsText" text="Hoch">
      <formula>NOT(ISERROR(SEARCH("Hoch",G3)))</formula>
    </cfRule>
  </conditionalFormatting>
  <conditionalFormatting sqref="G39:G70">
    <cfRule type="containsText" dxfId="9" priority="12" operator="containsText" text="0">
      <formula>NOT(ISERROR(SEARCH("0",G39)))</formula>
    </cfRule>
    <cfRule type="containsText" dxfId="8" priority="13" operator="containsText" text="FALSCH">
      <formula>NOT(ISERROR(SEARCH("FALSCH",G39)))</formula>
    </cfRule>
    <cfRule type="containsText" dxfId="7" priority="15" operator="containsText" text="Normal">
      <formula>NOT(ISERROR(SEARCH("Normal",G39)))</formula>
    </cfRule>
    <cfRule type="beginsWith" dxfId="6" priority="16" operator="beginsWith" text="Sehr">
      <formula>LEFT(G39,LEN("Sehr"))="Sehr"</formula>
    </cfRule>
    <cfRule type="containsText" dxfId="5" priority="17" operator="containsText" text="Hoch">
      <formula>NOT(ISERROR(SEARCH("Hoch",G39)))</formula>
    </cfRule>
  </conditionalFormatting>
  <conditionalFormatting sqref="G88:G89">
    <cfRule type="containsText" dxfId="4" priority="1" operator="containsText" text="0">
      <formula>NOT(ISERROR(SEARCH("0",G88)))</formula>
    </cfRule>
    <cfRule type="containsText" dxfId="3" priority="2" operator="containsText" text="FALSCH">
      <formula>NOT(ISERROR(SEARCH("FALSCH",G88)))</formula>
    </cfRule>
    <cfRule type="containsText" dxfId="2" priority="4" operator="containsText" text="Normal">
      <formula>NOT(ISERROR(SEARCH("Normal",G88)))</formula>
    </cfRule>
    <cfRule type="beginsWith" dxfId="1" priority="5" operator="beginsWith" text="Sehr">
      <formula>LEFT(G88,LEN("Sehr"))="Sehr"</formula>
    </cfRule>
    <cfRule type="containsText" dxfId="0" priority="6" operator="containsText" text="Hoch">
      <formula>NOT(ISERROR(SEARCH("Hoch",G88)))</formula>
    </cfRule>
  </conditionalFormatting>
  <dataValidations count="2">
    <dataValidation type="list" allowBlank="1" showInputMessage="1" showErrorMessage="1" sqref="E19:E21 E25:E27 E31:E33 E9 E11:E13 E17 E23 E29 E56:E58 E62:E64 E66 E45 E88:E89 E54 E60 E68:E70 E93:E95 E99:E101 E103 E82 E84:E86 E91 E97 E105:E107 E47:E49 E51:E52" xr:uid="{00000000-0002-0000-0100-000000000000}">
      <formula1>"Ja,Nein"</formula1>
    </dataValidation>
    <dataValidation type="list" allowBlank="1" showInputMessage="1" showErrorMessage="1" sqref="E5:E7 E3 F4 E41:E43 E39 F40 E78:E80 E76 F77" xr:uid="{00000000-0002-0000-0100-000001000000}">
      <formula1>"Ja, Nein"</formula1>
    </dataValidation>
  </dataValidations>
  <pageMargins left="0.39583333333333331" right="0.16666666666666666" top="0.390625" bottom="0.39370078740157483" header="0.27559055118110237" footer="0.19685039370078741"/>
  <pageSetup paperSize="9" scale="91" fitToHeight="0" orientation="landscape" horizontalDpi="300" verticalDpi="300" r:id="rId1"/>
  <headerFooter alignWithMargins="0">
    <oddFooter>&amp;C&amp;A - Seite &amp;P von &amp;N</oddFooter>
  </headerFooter>
  <rowBreaks count="2" manualBreakCount="2">
    <brk id="35" max="16383" man="1"/>
    <brk id="72" max="16383" man="1"/>
  </rowBreak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3">
    <tabColor theme="9" tint="-0.249977111117893"/>
  </sheetPr>
  <dimension ref="A1:L16"/>
  <sheetViews>
    <sheetView zoomScale="110" zoomScaleNormal="110" zoomScalePageLayoutView="110" workbookViewId="0">
      <selection activeCell="A7" sqref="A7"/>
    </sheetView>
  </sheetViews>
  <sheetFormatPr baseColWidth="10" defaultColWidth="11.5" defaultRowHeight="13" x14ac:dyDescent="0.15"/>
  <cols>
    <col min="1" max="1" width="16.5" customWidth="1"/>
    <col min="2" max="4" width="26.83203125" customWidth="1"/>
    <col min="5" max="5" width="16.5" customWidth="1"/>
    <col min="6" max="11" width="26.6640625" customWidth="1"/>
  </cols>
  <sheetData>
    <row r="1" spans="1:12" ht="26.25" customHeight="1" thickBot="1" x14ac:dyDescent="0.2">
      <c r="A1" s="220" t="s">
        <v>80</v>
      </c>
      <c r="B1" s="221"/>
      <c r="C1" s="221"/>
      <c r="D1" s="222"/>
      <c r="E1" s="106"/>
      <c r="F1" s="210" t="s">
        <v>81</v>
      </c>
      <c r="G1" s="211"/>
      <c r="H1" s="212"/>
      <c r="I1" s="215" t="s">
        <v>82</v>
      </c>
      <c r="J1" s="215"/>
      <c r="K1" s="216"/>
      <c r="L1" s="55"/>
    </row>
    <row r="2" spans="1:12" ht="16" thickBot="1" x14ac:dyDescent="0.2">
      <c r="A2" s="53" t="s">
        <v>83</v>
      </c>
      <c r="B2" s="54" t="s">
        <v>16</v>
      </c>
      <c r="C2" s="54" t="s">
        <v>17</v>
      </c>
      <c r="D2" s="54" t="s">
        <v>18</v>
      </c>
      <c r="E2" s="53" t="s">
        <v>83</v>
      </c>
      <c r="F2" s="105" t="s">
        <v>16</v>
      </c>
      <c r="G2" s="54" t="s">
        <v>17</v>
      </c>
      <c r="H2" s="54" t="s">
        <v>18</v>
      </c>
      <c r="I2" s="54" t="s">
        <v>16</v>
      </c>
      <c r="J2" s="54" t="s">
        <v>17</v>
      </c>
      <c r="K2" s="54" t="s">
        <v>18</v>
      </c>
      <c r="L2" s="55"/>
    </row>
    <row r="3" spans="1:12" ht="36.75" customHeight="1" x14ac:dyDescent="0.15">
      <c r="A3" s="205" t="s">
        <v>84</v>
      </c>
      <c r="B3" s="217" t="s">
        <v>85</v>
      </c>
      <c r="C3" s="218"/>
      <c r="D3" s="219"/>
      <c r="E3" s="205" t="s">
        <v>84</v>
      </c>
      <c r="F3" s="203" t="s">
        <v>86</v>
      </c>
      <c r="G3" s="213" t="s">
        <v>87</v>
      </c>
      <c r="H3" s="203" t="s">
        <v>88</v>
      </c>
      <c r="I3" s="203" t="s">
        <v>89</v>
      </c>
      <c r="J3" s="203" t="s">
        <v>90</v>
      </c>
      <c r="K3" s="203" t="s">
        <v>91</v>
      </c>
      <c r="L3" s="55"/>
    </row>
    <row r="4" spans="1:12" ht="108" customHeight="1" thickBot="1" x14ac:dyDescent="0.2">
      <c r="A4" s="206"/>
      <c r="B4" s="107" t="s">
        <v>92</v>
      </c>
      <c r="C4" s="107" t="s">
        <v>93</v>
      </c>
      <c r="D4" s="107" t="s">
        <v>94</v>
      </c>
      <c r="E4" s="206"/>
      <c r="F4" s="204"/>
      <c r="G4" s="214"/>
      <c r="H4" s="204"/>
      <c r="I4" s="204"/>
      <c r="J4" s="204"/>
      <c r="K4" s="204"/>
      <c r="L4" s="55"/>
    </row>
    <row r="5" spans="1:12" ht="22.5" customHeight="1" x14ac:dyDescent="0.15">
      <c r="A5" s="223" t="s">
        <v>95</v>
      </c>
      <c r="B5" s="217" t="s">
        <v>96</v>
      </c>
      <c r="C5" s="218"/>
      <c r="D5" s="219"/>
      <c r="E5" s="205" t="s">
        <v>95</v>
      </c>
      <c r="F5" s="203" t="s">
        <v>97</v>
      </c>
      <c r="G5" s="203" t="s">
        <v>98</v>
      </c>
      <c r="H5" s="203" t="s">
        <v>99</v>
      </c>
      <c r="I5" s="203" t="s">
        <v>100</v>
      </c>
      <c r="J5" s="203" t="s">
        <v>101</v>
      </c>
      <c r="K5" s="203" t="s">
        <v>102</v>
      </c>
      <c r="L5" s="55"/>
    </row>
    <row r="6" spans="1:12" ht="135.75" customHeight="1" thickBot="1" x14ac:dyDescent="0.2">
      <c r="A6" s="224"/>
      <c r="B6" s="107" t="s">
        <v>103</v>
      </c>
      <c r="C6" s="107" t="s">
        <v>104</v>
      </c>
      <c r="D6" s="107" t="s">
        <v>105</v>
      </c>
      <c r="E6" s="206"/>
      <c r="F6" s="204"/>
      <c r="G6" s="204"/>
      <c r="H6" s="204"/>
      <c r="I6" s="204"/>
      <c r="J6" s="204"/>
      <c r="K6" s="204"/>
      <c r="L6" s="55"/>
    </row>
    <row r="7" spans="1:12" ht="88.5" customHeight="1" thickBot="1" x14ac:dyDescent="0.2">
      <c r="A7" s="115" t="s">
        <v>44</v>
      </c>
      <c r="B7" s="107" t="s">
        <v>106</v>
      </c>
      <c r="C7" s="107" t="s">
        <v>107</v>
      </c>
      <c r="D7" s="107" t="s">
        <v>108</v>
      </c>
      <c r="E7" s="115" t="s">
        <v>44</v>
      </c>
      <c r="F7" s="108" t="s">
        <v>109</v>
      </c>
      <c r="G7" s="108" t="s">
        <v>110</v>
      </c>
      <c r="H7" s="108" t="s">
        <v>111</v>
      </c>
      <c r="I7" s="108" t="s">
        <v>112</v>
      </c>
      <c r="J7" s="108" t="s">
        <v>113</v>
      </c>
      <c r="K7" s="108" t="s">
        <v>114</v>
      </c>
      <c r="L7" s="55"/>
    </row>
    <row r="8" spans="1:12" ht="22.5" customHeight="1" x14ac:dyDescent="0.15">
      <c r="A8" s="205" t="s">
        <v>46</v>
      </c>
      <c r="B8" s="217" t="s">
        <v>115</v>
      </c>
      <c r="C8" s="218"/>
      <c r="D8" s="219"/>
      <c r="E8" s="205" t="s">
        <v>46</v>
      </c>
      <c r="F8" s="203" t="s">
        <v>116</v>
      </c>
      <c r="G8" s="203" t="s">
        <v>117</v>
      </c>
      <c r="H8" s="203" t="s">
        <v>118</v>
      </c>
      <c r="I8" s="203" t="s">
        <v>119</v>
      </c>
      <c r="J8" s="203" t="s">
        <v>120</v>
      </c>
      <c r="K8" s="203" t="s">
        <v>121</v>
      </c>
      <c r="L8" s="55"/>
    </row>
    <row r="9" spans="1:12" ht="85.5" customHeight="1" thickBot="1" x14ac:dyDescent="0.2">
      <c r="A9" s="206"/>
      <c r="B9" s="107" t="s">
        <v>122</v>
      </c>
      <c r="C9" s="107" t="s">
        <v>123</v>
      </c>
      <c r="D9" s="107" t="s">
        <v>124</v>
      </c>
      <c r="E9" s="206"/>
      <c r="F9" s="204"/>
      <c r="G9" s="204"/>
      <c r="H9" s="204"/>
      <c r="I9" s="204"/>
      <c r="J9" s="204"/>
      <c r="K9" s="204"/>
      <c r="L9" s="55"/>
    </row>
    <row r="10" spans="1:12" ht="22.5" customHeight="1" x14ac:dyDescent="0.15">
      <c r="A10" s="205" t="s">
        <v>125</v>
      </c>
      <c r="B10" s="217" t="s">
        <v>126</v>
      </c>
      <c r="C10" s="218"/>
      <c r="D10" s="219"/>
      <c r="E10" s="205" t="s">
        <v>125</v>
      </c>
      <c r="F10" s="203" t="s">
        <v>127</v>
      </c>
      <c r="G10" s="203" t="s">
        <v>128</v>
      </c>
      <c r="H10" s="203" t="s">
        <v>129</v>
      </c>
      <c r="I10" s="203" t="s">
        <v>130</v>
      </c>
      <c r="J10" s="203" t="s">
        <v>131</v>
      </c>
      <c r="K10" s="203" t="s">
        <v>132</v>
      </c>
      <c r="L10" s="55"/>
    </row>
    <row r="11" spans="1:12" ht="80.25" customHeight="1" thickBot="1" x14ac:dyDescent="0.2">
      <c r="A11" s="209"/>
      <c r="B11" s="109" t="s">
        <v>133</v>
      </c>
      <c r="C11" s="108" t="s">
        <v>134</v>
      </c>
      <c r="D11" s="109" t="s">
        <v>135</v>
      </c>
      <c r="E11" s="209"/>
      <c r="F11" s="204"/>
      <c r="G11" s="204"/>
      <c r="H11" s="204"/>
      <c r="I11" s="204"/>
      <c r="J11" s="204"/>
      <c r="K11" s="204"/>
      <c r="L11" s="55"/>
    </row>
    <row r="12" spans="1:12" ht="15" customHeight="1" x14ac:dyDescent="0.15">
      <c r="A12" s="207" t="s">
        <v>136</v>
      </c>
      <c r="B12" s="217" t="s">
        <v>126</v>
      </c>
      <c r="C12" s="218"/>
      <c r="D12" s="219"/>
      <c r="E12" s="207" t="s">
        <v>136</v>
      </c>
      <c r="F12" s="203" t="s">
        <v>137</v>
      </c>
      <c r="G12" s="203" t="s">
        <v>138</v>
      </c>
      <c r="H12" s="203" t="s">
        <v>139</v>
      </c>
      <c r="I12" s="203" t="s">
        <v>140</v>
      </c>
      <c r="J12" s="203" t="s">
        <v>141</v>
      </c>
      <c r="K12" s="203" t="s">
        <v>142</v>
      </c>
      <c r="L12" s="55"/>
    </row>
    <row r="13" spans="1:12" ht="72" customHeight="1" thickBot="1" x14ac:dyDescent="0.2">
      <c r="A13" s="208"/>
      <c r="B13" s="107" t="s">
        <v>143</v>
      </c>
      <c r="C13" s="107" t="s">
        <v>144</v>
      </c>
      <c r="D13" s="107" t="s">
        <v>145</v>
      </c>
      <c r="E13" s="208"/>
      <c r="F13" s="204"/>
      <c r="G13" s="204"/>
      <c r="H13" s="204"/>
      <c r="I13" s="204"/>
      <c r="J13" s="204"/>
      <c r="K13" s="204"/>
      <c r="L13" s="55"/>
    </row>
    <row r="15" spans="1:12" ht="12" customHeight="1" x14ac:dyDescent="0.15"/>
    <row r="16" spans="1:12" hidden="1" x14ac:dyDescent="0.15"/>
  </sheetData>
  <sheetProtection selectLockedCells="1" selectUnlockedCells="1"/>
  <mergeCells count="48">
    <mergeCell ref="B12:D12"/>
    <mergeCell ref="A1:D1"/>
    <mergeCell ref="A3:A4"/>
    <mergeCell ref="B3:D3"/>
    <mergeCell ref="A5:A6"/>
    <mergeCell ref="B5:D5"/>
    <mergeCell ref="A8:A9"/>
    <mergeCell ref="B8:D8"/>
    <mergeCell ref="B10:D10"/>
    <mergeCell ref="A10:A11"/>
    <mergeCell ref="A12:A13"/>
    <mergeCell ref="I1:K1"/>
    <mergeCell ref="J3:J4"/>
    <mergeCell ref="K3:K4"/>
    <mergeCell ref="J5:J6"/>
    <mergeCell ref="I5:I6"/>
    <mergeCell ref="I3:I4"/>
    <mergeCell ref="F1:H1"/>
    <mergeCell ref="H5:H6"/>
    <mergeCell ref="F5:F6"/>
    <mergeCell ref="G5:G6"/>
    <mergeCell ref="F3:F4"/>
    <mergeCell ref="G3:G4"/>
    <mergeCell ref="H3:H4"/>
    <mergeCell ref="E3:E4"/>
    <mergeCell ref="E8:E9"/>
    <mergeCell ref="E5:E6"/>
    <mergeCell ref="K12:K13"/>
    <mergeCell ref="K8:K9"/>
    <mergeCell ref="I10:I11"/>
    <mergeCell ref="K10:K11"/>
    <mergeCell ref="F8:F9"/>
    <mergeCell ref="G8:G9"/>
    <mergeCell ref="J8:J9"/>
    <mergeCell ref="K5:K6"/>
    <mergeCell ref="H8:H9"/>
    <mergeCell ref="I8:I9"/>
    <mergeCell ref="E12:E13"/>
    <mergeCell ref="J12:J13"/>
    <mergeCell ref="E10:E11"/>
    <mergeCell ref="I12:I13"/>
    <mergeCell ref="J10:J11"/>
    <mergeCell ref="H10:H11"/>
    <mergeCell ref="F12:F13"/>
    <mergeCell ref="G12:G13"/>
    <mergeCell ref="G10:G11"/>
    <mergeCell ref="F10:F11"/>
    <mergeCell ref="H12:H13"/>
  </mergeCells>
  <pageMargins left="0.59055118110236227" right="0.15748031496062992" top="0.71022727272727271" bottom="0.625" header="0.31496062992125984" footer="0.3149606299212598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abelle4"/>
  <dimension ref="A1:F10"/>
  <sheetViews>
    <sheetView workbookViewId="0">
      <selection activeCell="B11" sqref="B11"/>
    </sheetView>
  </sheetViews>
  <sheetFormatPr baseColWidth="10" defaultColWidth="11.5" defaultRowHeight="13" x14ac:dyDescent="0.15"/>
  <sheetData>
    <row r="1" spans="1:6" x14ac:dyDescent="0.15">
      <c r="A1" t="s">
        <v>146</v>
      </c>
      <c r="C1" t="s">
        <v>147</v>
      </c>
      <c r="E1" t="s">
        <v>148</v>
      </c>
    </row>
    <row r="3" spans="1:6" x14ac:dyDescent="0.15">
      <c r="A3" t="s">
        <v>149</v>
      </c>
      <c r="B3" t="s">
        <v>150</v>
      </c>
      <c r="C3" t="s">
        <v>149</v>
      </c>
      <c r="D3" t="s">
        <v>150</v>
      </c>
      <c r="E3" t="s">
        <v>149</v>
      </c>
      <c r="F3" t="s">
        <v>150</v>
      </c>
    </row>
    <row r="4" spans="1:6" x14ac:dyDescent="0.15">
      <c r="A4" t="s">
        <v>151</v>
      </c>
      <c r="B4">
        <f>IF(Anwendung!G3="Normal",1,(IF(Anwendung!G3="Hoch",10,(IF(Anwendung!G3="Sehr hoch",1000,0)))))</f>
        <v>1000</v>
      </c>
      <c r="C4" s="117" t="s">
        <v>152</v>
      </c>
      <c r="D4">
        <f>IF(Anwendung!G39="Normal",1,(IF(Anwendung!G39="Hoch",10,(IF(Anwendung!G39="Sehr hoch",1000,0)))))</f>
        <v>0</v>
      </c>
      <c r="E4" s="117" t="s">
        <v>153</v>
      </c>
      <c r="F4">
        <f>IF(Anwendung!G76="Normal",1,(IF(Anwendung!G76="Hoch",10,(IF(Anwendung!G76="Sehr hoch",1000,0)))))</f>
        <v>0</v>
      </c>
    </row>
    <row r="5" spans="1:6" x14ac:dyDescent="0.15">
      <c r="A5" t="s">
        <v>154</v>
      </c>
      <c r="B5">
        <f>IF(Anwendung!G9="Normal",1,(IF(Anwendung!G9="Hoch",10,(IF(Anwendung!G9="Sehr hoch",1000,0)))))</f>
        <v>0</v>
      </c>
      <c r="C5" s="117" t="s">
        <v>155</v>
      </c>
      <c r="D5">
        <f>IF(Anwendung!G45="Normal",1,(IF(Anwendung!G45="Hoch",10,(IF(Anwendung!G45="Sehr hoch",1000,0)))))</f>
        <v>0</v>
      </c>
      <c r="E5" s="117" t="s">
        <v>156</v>
      </c>
      <c r="F5">
        <f>IF(Anwendung!G82="Normal",1,(IF(Anwendung!G82="Hoch",10,(IF(Anwendung!G82="Sehr hoch",1000,0)))))</f>
        <v>0</v>
      </c>
    </row>
    <row r="6" spans="1:6" x14ac:dyDescent="0.15">
      <c r="A6" s="117" t="s">
        <v>157</v>
      </c>
      <c r="B6">
        <f>IF(Anwendung!G17="Normal",1,(IF(Anwendung!G17="Hoch",10,(IF(Anwendung!G17="Sehr hoch",1000,0)))))</f>
        <v>0</v>
      </c>
      <c r="C6" t="s">
        <v>158</v>
      </c>
      <c r="D6">
        <f>IF(Anwendung!G51="Normal",1,(IF(Anwendung!G51="Hoch",10,(IF(Anwendung!G51="Sehr hoch",1000,0)))))</f>
        <v>0</v>
      </c>
      <c r="E6" s="117" t="s">
        <v>159</v>
      </c>
      <c r="F6">
        <f>IF(Anwendung!G88="Normal",1,(IF(Anwendung!G88="Hoch",10,(IF(Anwendung!G88="Sehr hoch",1000,0)))))</f>
        <v>0</v>
      </c>
    </row>
    <row r="7" spans="1:6" x14ac:dyDescent="0.15">
      <c r="A7" s="117" t="s">
        <v>160</v>
      </c>
      <c r="B7">
        <f>IF(Anwendung!G23="Normal",1,(IF(Anwendung!G23="Hoch",10,(IF(Anwendung!G23="Sehr hoch",1000,0)))))</f>
        <v>0</v>
      </c>
      <c r="C7" s="117" t="s">
        <v>161</v>
      </c>
      <c r="D7">
        <f>IF(Anwendung!G54="Normal",1,(IF(Anwendung!G54="Hoch",10,(IF(Anwendung!G54="Sehr hoch",1000,0)))))</f>
        <v>0</v>
      </c>
      <c r="E7" s="117" t="s">
        <v>162</v>
      </c>
      <c r="F7">
        <f>IF(Anwendung!G91="Normal",1,(IF(Anwendung!G91="Hoch",10,(IF(Anwendung!G91="Sehr hoch",1000,0)))))</f>
        <v>0</v>
      </c>
    </row>
    <row r="8" spans="1:6" x14ac:dyDescent="0.15">
      <c r="A8" s="117" t="s">
        <v>163</v>
      </c>
      <c r="B8">
        <f>IF(Anwendung!G29="Normal",1,(IF(Anwendung!G29="Hoch",10,(IF(Anwendung!G29="Sehr hoch",1000,0)))))</f>
        <v>0</v>
      </c>
      <c r="C8" s="117" t="s">
        <v>164</v>
      </c>
      <c r="D8">
        <f>IF(Anwendung!G60="Normal",1,(IF(Anwendung!G60="Hoch",10,(IF(Anwendung!G60="Sehr hoch",1000,0)))))</f>
        <v>0</v>
      </c>
      <c r="E8" s="117" t="s">
        <v>165</v>
      </c>
      <c r="F8">
        <f>IF(Anwendung!G97="Normal",1,(IF(Anwendung!G97="Hoch",10,(IF(Anwendung!G97="Sehr hoch",1000,0)))))</f>
        <v>0</v>
      </c>
    </row>
    <row r="9" spans="1:6" x14ac:dyDescent="0.15">
      <c r="C9" s="117" t="s">
        <v>166</v>
      </c>
      <c r="D9">
        <f>IF(Anwendung!G66="Normal",1,(IF(Anwendung!G66="Hoch",10,(IF(Anwendung!G66="Sehr hoch",1000,0)))))</f>
        <v>0</v>
      </c>
      <c r="E9" s="117" t="s">
        <v>167</v>
      </c>
      <c r="F9">
        <f>IF(Anwendung!G103="Normal",1,(IF(Anwendung!G103="Hoch",10,(IF(Anwendung!G103="Sehr hoch",1000,0)))))</f>
        <v>0</v>
      </c>
    </row>
    <row r="10" spans="1:6" x14ac:dyDescent="0.15">
      <c r="A10" t="s">
        <v>168</v>
      </c>
      <c r="B10">
        <f>SUM(B4:B8)</f>
        <v>1000</v>
      </c>
      <c r="C10" t="s">
        <v>168</v>
      </c>
      <c r="D10">
        <f>SUM(D4:D9)</f>
        <v>0</v>
      </c>
      <c r="E10" t="s">
        <v>168</v>
      </c>
      <c r="F10">
        <f>SUM(F4:F9)</f>
        <v>0</v>
      </c>
    </row>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82bea7f-7d31-4851-ad5a-5ba97b5fc828" xsi:nil="true"/>
    <lcf76f155ced4ddcb4097134ff3c332f xmlns="38cdaaf4-3086-490b-b948-71c00053ae89">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836FE187CA92494D8164795A1DDE9748" ma:contentTypeVersion="11" ma:contentTypeDescription="Ein neues Dokument erstellen." ma:contentTypeScope="" ma:versionID="50d588ef1e017f8a633269311eb74ff3">
  <xsd:schema xmlns:xsd="http://www.w3.org/2001/XMLSchema" xmlns:xs="http://www.w3.org/2001/XMLSchema" xmlns:p="http://schemas.microsoft.com/office/2006/metadata/properties" xmlns:ns2="38cdaaf4-3086-490b-b948-71c00053ae89" xmlns:ns3="582bea7f-7d31-4851-ad5a-5ba97b5fc828" targetNamespace="http://schemas.microsoft.com/office/2006/metadata/properties" ma:root="true" ma:fieldsID="e679df4ff17afc0ef34f917391fd23c6" ns2:_="" ns3:_="">
    <xsd:import namespace="38cdaaf4-3086-490b-b948-71c00053ae89"/>
    <xsd:import namespace="582bea7f-7d31-4851-ad5a-5ba97b5fc82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cdaaf4-3086-490b-b948-71c00053ae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Bildmarkierungen" ma:readOnly="false" ma:fieldId="{5cf76f15-5ced-4ddc-b409-7134ff3c332f}" ma:taxonomyMulti="true" ma:sspId="67dbe05f-51fe-4417-b518-1a9974b8984b"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82bea7f-7d31-4851-ad5a-5ba97b5fc828"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ce4ba477-9765-42cc-a1ec-2d1f3b5caebc}" ma:internalName="TaxCatchAll" ma:showField="CatchAllData" ma:web="582bea7f-7d31-4851-ad5a-5ba97b5fc82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DE3A9CF-5207-47E0-B172-9BC83F834F78}">
  <ds:schemaRefs>
    <ds:schemaRef ds:uri="http://schemas.microsoft.com/office/infopath/2007/PartnerControls"/>
    <ds:schemaRef ds:uri="http://purl.org/dc/terms/"/>
    <ds:schemaRef ds:uri="http://purl.org/dc/elements/1.1/"/>
    <ds:schemaRef ds:uri="8dd4351f-6e84-42cd-b733-f489e1324dd8"/>
    <ds:schemaRef ds:uri="http://www.w3.org/XML/1998/namespace"/>
    <ds:schemaRef ds:uri="http://schemas.microsoft.com/office/2006/documentManagement/types"/>
    <ds:schemaRef ds:uri="http://schemas.openxmlformats.org/package/2006/metadata/core-properties"/>
    <ds:schemaRef ds:uri="ff239fba-7b2a-46b9-97ea-c2ec9c0d193f"/>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1E6A8E3A-30EB-488C-BEDA-950A4A26F56A}">
  <ds:schemaRefs>
    <ds:schemaRef ds:uri="http://schemas.microsoft.com/sharepoint/v3/contenttype/forms"/>
  </ds:schemaRefs>
</ds:datastoreItem>
</file>

<file path=customXml/itemProps3.xml><?xml version="1.0" encoding="utf-8"?>
<ds:datastoreItem xmlns:ds="http://schemas.openxmlformats.org/officeDocument/2006/customXml" ds:itemID="{D5BB500F-2D23-4CC4-95FA-B23EDF1D778D}"/>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Arbeitsblätter</vt:lpstr>
      </vt:variant>
      <vt:variant>
        <vt:i4>4</vt:i4>
      </vt:variant>
      <vt:variant>
        <vt:lpstr>Benannte Bereiche</vt:lpstr>
      </vt:variant>
      <vt:variant>
        <vt:i4>1</vt:i4>
      </vt:variant>
    </vt:vector>
  </HeadingPairs>
  <TitlesOfParts>
    <vt:vector size="5" baseType="lpstr">
      <vt:lpstr>Deckblatt</vt:lpstr>
      <vt:lpstr>Anwendung</vt:lpstr>
      <vt:lpstr>Schutzbedarfskategorien</vt:lpstr>
      <vt:lpstr>Hilfstabelle</vt:lpstr>
      <vt:lpstr>Schutzbedarfskategorien!Drucktitel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2016-05-31T06:03:26Z</dcterms:created>
  <dcterms:modified xsi:type="dcterms:W3CDTF">2024-09-17T11:50:40Z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0x010100836FE187CA92494D8164795A1DDE9748</vt:lpwstr>
  </property>
  <property fmtid="{D5CDD505-2E9C-101B-9397-08002B2CF9AE}" pid="3" name="Produkttypen">
    <vt:lpwstr>12;#01_planung_und_steuerung|dd33129e-8f2e-4aaf-9941-227e9b4ceede</vt:lpwstr>
  </property>
  <property fmtid="{D5CDD505-2E9C-101B-9397-08002B2CF9AE}" pid="4" name="AKZ">
    <vt:lpwstr>82;#SP_01-07311|e2bc44d7-4278-49ad-bf35-cc5e948d8a6c</vt:lpwstr>
  </property>
  <property fmtid="{D5CDD505-2E9C-101B-9397-08002B2CF9AE}" pid="5" name="Produktzustand0">
    <vt:lpwstr>5;#fertiggestellt|132a2e33-7549-46fb-9d09-c01d3cf161b5</vt:lpwstr>
  </property>
  <property fmtid="{D5CDD505-2E9C-101B-9397-08002B2CF9AE}" pid="6" name="Meilenstein">
    <vt:lpwstr>387;#MS06 Einf. IT-Sicherheitsman.|4dd42fef-b323-47a3-bcaa-3876ebf2ed83</vt:lpwstr>
  </property>
  <property fmtid="{D5CDD505-2E9C-101B-9397-08002B2CF9AE}" pid="7" name="MediaServiceImageTags">
    <vt:lpwstr/>
  </property>
</Properties>
</file>