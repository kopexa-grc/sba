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eckblatt" state="visible" r:id="rId4"/>
    <sheet sheetId="2" name="Anwendung" state="visible" r:id="rId5"/>
    <sheet sheetId="3" name="Audit-Trail" state="visible" r:id="rId6"/>
    <sheet sheetId="4" name="Definitionen" state="visible" r:id="rId7"/>
    <sheet sheetId="5" name="Hilfstabelle" state="hidden" r:id="rId8"/>
  </sheets>
  <calcPr calcId="171027" fullCalcOnLoad="1"/>
</workbook>
</file>

<file path=xl/sharedStrings.xml><?xml version="1.0" encoding="utf-8"?>
<sst xmlns="http://schemas.openxmlformats.org/spreadsheetml/2006/main" count="617" uniqueCount="273">
  <si>
    <t>Schutzbedarfsanalyse</t>
  </si>
  <si>
    <t>Speichern Sie jede Schutzbedarfsanalyse einzeln für jedes schutzbedürftige Asset ab, um die Rückverfolgbarkeit zu gewährleisten. Erstellt mit KOPEXA Schutzbedarfsanalyse (schutzbedarf.kopexa.com).</t>
  </si>
  <si>
    <t>Schutzbedarfsfeststellung für</t>
  </si>
  <si>
    <t>Kunden-CRM</t>
  </si>
  <si>
    <t>Version:</t>
  </si>
  <si>
    <t>1.0</t>
  </si>
  <si>
    <t>Status:</t>
  </si>
  <si>
    <t>abgeschlossen</t>
  </si>
  <si>
    <t>zuletzt bearbeitet am:</t>
  </si>
  <si>
    <t>von:</t>
  </si>
  <si>
    <t>Anna Beispiel</t>
  </si>
  <si>
    <t>fachlich freigegeben am:</t>
  </si>
  <si>
    <t>freigegeben am:</t>
  </si>
  <si>
    <t>Verantwortliche Organisationseinheit:</t>
  </si>
  <si>
    <t/>
  </si>
  <si>
    <t>Kontakt:</t>
  </si>
  <si>
    <t>personenbezogene Daten:</t>
  </si>
  <si>
    <t>ja</t>
  </si>
  <si>
    <t>besondere Art personenbezogener Daten:</t>
  </si>
  <si>
    <t>&lt;bitte auswählen&gt;</t>
  </si>
  <si>
    <t>Schutzbedarf Zusammenfassung</t>
  </si>
  <si>
    <t>Begründung</t>
  </si>
  <si>
    <t>Management Summary</t>
  </si>
  <si>
    <t>Vertraulichkeit</t>
  </si>
  <si>
    <t>Umfangreiche personenbezogene Kundendaten mit vertraglichen Vertraulichkeitspflichten.</t>
  </si>
  <si>
    <t>Integrität</t>
  </si>
  <si>
    <t>Verfügbarkeit</t>
  </si>
  <si>
    <t>Kernprozess Kundenservice ist vollständig vom CRM abhängig (RTO ≤ 1 h).</t>
  </si>
  <si>
    <t>Änderungshistorie</t>
  </si>
  <si>
    <t>Nr.</t>
  </si>
  <si>
    <t>Version</t>
  </si>
  <si>
    <t>Datum</t>
  </si>
  <si>
    <t>Beschreibung der Änderung</t>
  </si>
  <si>
    <t>Bearbeiter</t>
  </si>
  <si>
    <t>Ersterstellung</t>
  </si>
  <si>
    <t>Weitere Stammdaten</t>
  </si>
  <si>
    <t>Asset-Typ</t>
  </si>
  <si>
    <t>Anwendung</t>
  </si>
  <si>
    <t>Asset-Owner</t>
  </si>
  <si>
    <t>Leitung Vertrieb</t>
  </si>
  <si>
    <t>Ersteller:in der Analyse</t>
  </si>
  <si>
    <t>Informationssicherheit</t>
  </si>
  <si>
    <t>Beschreibung / Einsatzzweck</t>
  </si>
  <si>
    <t>Geltungsbereich</t>
  </si>
  <si>
    <t>Produktivsystem inkl. Schnittstellen zu ERP und Newsletter-Dienst</t>
  </si>
  <si>
    <t>Standort</t>
  </si>
  <si>
    <t>Asset-ID</t>
  </si>
  <si>
    <t>01219b41-18c4-4af4-97f3-93ef3b9b06df</t>
  </si>
  <si>
    <t>Versions-ID</t>
  </si>
  <si>
    <t>e246a41b-8163-46c9-8155-ab1ec5df91d2</t>
  </si>
  <si>
    <t>Abgeschlossen</t>
  </si>
  <si>
    <t>2026-09-30T08:55:05.833Z, Anna Beispiel</t>
  </si>
  <si>
    <t>Bewertungsschema</t>
  </si>
  <si>
    <t>Standard (Referenzbogen) (Stand 1): Finanzieller Schaden hoch ab 1.000.000 €, sehr hoch ab 10.000.000 €; tolerierbarer Ausfall hoch bis 24 Stunden, sehr hoch bis 1 Stunde.</t>
  </si>
  <si>
    <t>Organisation</t>
  </si>
  <si>
    <t>Musterstadtwerke GmbH</t>
  </si>
  <si>
    <t>Erstellt durch</t>
  </si>
  <si>
    <t>Prüfsumme (SHA-256)</t>
  </si>
  <si>
    <t>503aeba0394bd46ef8918c0f7de8c213e7a721dd9aee4263a6181574e363e237</t>
  </si>
  <si>
    <t>Grundwert Vertraulichkeit</t>
  </si>
  <si>
    <t>Schadensszenario</t>
  </si>
  <si>
    <t>Frage</t>
  </si>
  <si>
    <t>Antwort</t>
  </si>
  <si>
    <t>weitere Ausführungen</t>
  </si>
  <si>
    <t>Schutzbedarf</t>
  </si>
  <si>
    <t>Erläuterung Schutzbedarf</t>
  </si>
  <si>
    <t>Verstoß gegen Gesetze, Vorschriften und Verträge</t>
  </si>
  <si>
    <t>Erfordern Gesetze, Vorschriften oder vertragliche Regelungen die Vertraulichkeit der Informationen?</t>
  </si>
  <si>
    <t>Ja</t>
  </si>
  <si>
    <t>Vertraulichkeitsvereinbarungen mit Großkunden sehen Vertragsstrafen vor.</t>
  </si>
  <si>
    <t>Falls ja, führt die Kenntnisnahme der Informationen durch Unbefugte zu</t>
  </si>
  <si>
    <t>geringen Verstößen gegen diese Regelungen und damit zu geringfügigen juristischen Konsequenzen / Vertragsstrafen?</t>
  </si>
  <si>
    <t>Nein</t>
  </si>
  <si>
    <t>erheblichen Verstößen gegen diese Regelungen und damit zu erheblichen juristischen Konsequenzen / Vertragsstrafen?</t>
  </si>
  <si>
    <t>fundamentalen Verstößen gegen diese Regelungen und damit zu massiven juristischen Konsequenzen / Vertragsstrafen?</t>
  </si>
  <si>
    <t>Beeinträchtigung des informationellen Selbstbestimmungsrechts</t>
  </si>
  <si>
    <t>Erfolgt eine Verarbeitung von personenbezogenen Daten?</t>
  </si>
  <si>
    <t>Kontakt- und Vertragsdaten von ca. 120.000 Kund:innen; Meldepflicht nach Art. 33 DSGVO.</t>
  </si>
  <si>
    <t>Falls ja, hat die Kenntnisnahme der personenbezogenen Daten durch Unbefugte</t>
  </si>
  <si>
    <t>geringfügige Auswirkungen auf die Betroffenen und wird von diesen toleriert?</t>
  </si>
  <si>
    <t>erhebliche Auswirkungen auf die Betroffenen und kann diese in ihrer gesellschaftlichen Stellung oder ihren wirtschaftlichen Verhältnissen erheblich beeinträchtigen?</t>
  </si>
  <si>
    <t>fundamentale Auswirkungen auf die Betroffenen und kann für diese eine Gefahr für Leib und Leben oder die persönliche Freiheit darstellen?</t>
  </si>
  <si>
    <t>Beeinträchtigung der persönlichen Unversehrtheit</t>
  </si>
  <si>
    <t>Eine Betrachtung dieses Szenarios beim Grundwert Vertraulichkeit ist nicht sinnvoll, da keine Unmittelbarkeit zwischen Vertraulichkeitsverlust und Beeinträchtigung denkbar ist.</t>
  </si>
  <si>
    <t>Beeinträchtigung der Aufgabenerfüllung</t>
  </si>
  <si>
    <t>Ist die Vertraulichkeit der Informationen Grundlage der Aufgabenerfüllung?</t>
  </si>
  <si>
    <t>Falls ja, hat die Kenntnisnahme der Informationen durch Unbefugte</t>
  </si>
  <si>
    <t>geringfügige Auswirkungen auf die Aufgabenerfüllung und wird von diesen toleriert?</t>
  </si>
  <si>
    <t>erhebliche Auswirkungen auf die Aufgabenerfüllung und wird von einzelnen Betroffenen als nicht tolerierbar eingeschätzt?</t>
  </si>
  <si>
    <t>fundamentale Auswirkungen auf die Aufgabenerfüllung und wird von allen Betroffenen als nicht tolerierbar eingeschätzt?</t>
  </si>
  <si>
    <t>Negative Innen- oder Außenwirkung</t>
  </si>
  <si>
    <t>Erfolgt eine Verarbeitung schutzbedürftiger Informationen?</t>
  </si>
  <si>
    <t>einer geringen bzw. nur ressortinternen Ansehens- / Vertrauensbeeinträchtigung?</t>
  </si>
  <si>
    <t>einer erheblichen Ansehens- / Vertrauensbeeinträchtigung auch außerhalb des Ressorts?</t>
  </si>
  <si>
    <t>einer dauerhaften Ansehens- / Vertrauensbeeinträchtigung außerhalb des Ressorts, ggf. sogar auf internationaler Ebene?</t>
  </si>
  <si>
    <t>Finanzielle Auswirkungen</t>
  </si>
  <si>
    <t>einem finanziellen Schaden von weniger als 1.000.000 €?</t>
  </si>
  <si>
    <t>einem finanziellen Schaden von mehr als 1.000.000 €?</t>
  </si>
  <si>
    <t>einem finanziellen Schaden von mehr als 10.000.000 €?</t>
  </si>
  <si>
    <t>Manuelle Übersteuerung</t>
  </si>
  <si>
    <t>keine</t>
  </si>
  <si>
    <t>Grundwert Integrität</t>
  </si>
  <si>
    <t>Erfordern Gesetze, Vorschriften oder vertragliche Regelungen die Integrität der Informationen?</t>
  </si>
  <si>
    <t>Falls ja, führt die Verfälschung/Manipulation der Informationen zu</t>
  </si>
  <si>
    <t>Falls ja, hat die Verfälschung/Manipulation der personenbezogenen Daten</t>
  </si>
  <si>
    <t>Können Menschen durch manipulierte Programmabläufe oder Daten gesundheitlich beeinträchtigt werden?</t>
  </si>
  <si>
    <t>Falls ja, besteht durch die Verfälschung/Manipulation der Informationen/Programmabläufe eine Gefahr für Leib und Leben?</t>
  </si>
  <si>
    <t>Ist die Integrität der Informationen Grundlage der Aufgabenerfüllung?</t>
  </si>
  <si>
    <t>Falls ja, hat die Verfälschung/Manipulation der Informationen</t>
  </si>
  <si>
    <t>geringfügige Auswirkungen auf die Aufgabenerfüllung und wird von den Betroffenen toleriert?</t>
  </si>
  <si>
    <t>Grundwert Verfügbarkeit</t>
  </si>
  <si>
    <t>Erfordern Gesetze, Vorschriften oder vertragliche Regelungen die Verfügbarkeit der Informationen?</t>
  </si>
  <si>
    <t>Falls ja, führt die Nichtverfügbarkeit der Informationen zu</t>
  </si>
  <si>
    <t>Falls ja, hat die Nichtverfügbarkeit der personenbezogenen Daten</t>
  </si>
  <si>
    <t>keine Auswirkungen auf die Betroffenen?</t>
  </si>
  <si>
    <t>Können Menschen durch den Ausfall der Anwendung / des IT-Systems oder die Störung der Datenübertragung gesundheitlich beeinträchtigt werden?</t>
  </si>
  <si>
    <t>Falls ja, besteht durch die Nichtverfügbarkeit der Informationen/Programmabläufe eine Gefahr für Leib und Leben?</t>
  </si>
  <si>
    <t>Ist die Verfügbarkeit der Informationen Grundlage der Aufgabenerfüllung?</t>
  </si>
  <si>
    <t>Der Kundenservice arbeitet ausschließlich im CRM; tolerierbar ist höchstens eine Stunde.</t>
  </si>
  <si>
    <t>Falls ja, hat die Nichtverfügbarkeit der Informationen</t>
  </si>
  <si>
    <t>geringfügige Auswirkungen auf die Aufgabenerfüllung und wird auch bei einer Dauer über 24 Stunden hinaus von den Betroffenen toleriert?</t>
  </si>
  <si>
    <t>erhebliche Auswirkungen auf die Aufgabenerfüllung und kann nur bei einer Dauer zwischen 1 Stunde und 24 Stunden von den Betroffenen toleriert werden?</t>
  </si>
  <si>
    <t>fundamentale Auswirkungen auf die Aufgabenerfüllung und kann nur bis zu einer Dauer von 1 Stunde von den Betroffenen toleriert werden?</t>
  </si>
  <si>
    <t>Zeitstempel (UTC)</t>
  </si>
  <si>
    <t>Akteur</t>
  </si>
  <si>
    <t>Aktion</t>
  </si>
  <si>
    <t>Feld / Kriterium</t>
  </si>
  <si>
    <t>Alter Wert</t>
  </si>
  <si>
    <t>Neuer Wert</t>
  </si>
  <si>
    <t>Änderungsgrund</t>
  </si>
  <si>
    <t>2026-09-30T08:55:00.130Z</t>
  </si>
  <si>
    <t>1.0-dev</t>
  </si>
  <si>
    <t>Angelegt</t>
  </si>
  <si>
    <t>2026-09-30T08:55:00.204Z</t>
  </si>
  <si>
    <t>Geändert</t>
  </si>
  <si>
    <t>2026-09-30T08:55:00.214Z</t>
  </si>
  <si>
    <t>Ersteller:in</t>
  </si>
  <si>
    <t>2026-09-30T08:55:00.219Z</t>
  </si>
  <si>
    <t>2026-09-30T08:55:00.659Z</t>
  </si>
  <si>
    <t>Personenbezogene Daten</t>
  </si>
  <si>
    <t>2026-09-30T08:55:00.819Z</t>
  </si>
  <si>
    <t>Vertraulichkeit · Gesetze &amp; Verträge</t>
  </si>
  <si>
    <t>Normal</t>
  </si>
  <si>
    <t>2026-09-30T08:55:00.869Z</t>
  </si>
  <si>
    <t>Vertraulichkeit · Selbstbestimmung / DSGVO</t>
  </si>
  <si>
    <t>2026-09-30T08:55:00.920Z</t>
  </si>
  <si>
    <t>Vertraulichkeit · Aufgabenerfüllung</t>
  </si>
  <si>
    <t>2026-09-30T08:55:00.969Z</t>
  </si>
  <si>
    <t>Vertraulichkeit · Innen-/Außenwirkung</t>
  </si>
  <si>
    <t>2026-09-30T08:55:01.018Z</t>
  </si>
  <si>
    <t>Vertraulichkeit · Finanzielle Auswirkungen</t>
  </si>
  <si>
    <t>2026-09-30T08:55:01.126Z</t>
  </si>
  <si>
    <t>Integrität · Gesetze &amp; Verträge</t>
  </si>
  <si>
    <t>2026-09-30T08:55:01.175Z</t>
  </si>
  <si>
    <t>Integrität · Selbstbestimmung / DSGVO</t>
  </si>
  <si>
    <t>2026-09-30T08:55:01.227Z</t>
  </si>
  <si>
    <t>Integrität · Leib &amp; Leben</t>
  </si>
  <si>
    <t>2026-09-30T08:55:01.275Z</t>
  </si>
  <si>
    <t>Integrität · Aufgabenerfüllung</t>
  </si>
  <si>
    <t>2026-09-30T08:55:01.325Z</t>
  </si>
  <si>
    <t>Integrität · Innen-/Außenwirkung</t>
  </si>
  <si>
    <t>2026-09-30T08:55:01.376Z</t>
  </si>
  <si>
    <t>Integrität · Finanzielle Auswirkungen</t>
  </si>
  <si>
    <t>2026-09-30T08:55:01.496Z</t>
  </si>
  <si>
    <t>Verfügbarkeit · Gesetze &amp; Verträge</t>
  </si>
  <si>
    <t>2026-09-30T08:55:01.546Z</t>
  </si>
  <si>
    <t>Verfügbarkeit · Selbstbestimmung / DSGVO</t>
  </si>
  <si>
    <t>2026-09-30T08:55:01.596Z</t>
  </si>
  <si>
    <t>Verfügbarkeit · Leib &amp; Leben</t>
  </si>
  <si>
    <t>2026-09-30T08:55:01.646Z</t>
  </si>
  <si>
    <t>Verfügbarkeit · Aufgabenerfüllung</t>
  </si>
  <si>
    <t>2026-09-30T08:55:01.696Z</t>
  </si>
  <si>
    <t>Verfügbarkeit · Innen-/Außenwirkung</t>
  </si>
  <si>
    <t>2026-09-30T08:55:01.745Z</t>
  </si>
  <si>
    <t>Verfügbarkeit · Finanzielle Auswirkungen</t>
  </si>
  <si>
    <t>2026-09-30T08:55:01.904Z</t>
  </si>
  <si>
    <t>Hoch</t>
  </si>
  <si>
    <t>2026-09-30T08:55:01.906Z</t>
  </si>
  <si>
    <t>Vertraulichkeit · Selbstbestimmung / DSGVO – Erläuterung</t>
  </si>
  <si>
    <t>2026-09-30T08:55:02.481Z</t>
  </si>
  <si>
    <t>2026-09-30T08:55:02.482Z</t>
  </si>
  <si>
    <t>Vertraulichkeit · Gesetze &amp; Verträge – Erläuterung</t>
  </si>
  <si>
    <t>2026-09-30T08:55:04.235Z</t>
  </si>
  <si>
    <t>Sehr hoch</t>
  </si>
  <si>
    <t>2026-09-30T08:55:04.236Z</t>
  </si>
  <si>
    <t>Verfügbarkeit · Aufgabenerfüllung – Erläuterung</t>
  </si>
  <si>
    <t>2026-09-30T08:55:04.920Z</t>
  </si>
  <si>
    <t>Vertraulichkeit – Begründung Schutzbedarf</t>
  </si>
  <si>
    <t>2026-09-30T08:55:04.927Z</t>
  </si>
  <si>
    <t>Verfügbarkeit – Begründung Schutzbedarf</t>
  </si>
  <si>
    <t>2026-09-30T08:55:05.833Z</t>
  </si>
  <si>
    <t>Szenario</t>
  </si>
  <si>
    <t>Schutzbedarfskategorie „normal“</t>
  </si>
  <si>
    <t>Schutzbedarfskategorie „hoch“</t>
  </si>
  <si>
    <t>Schutzbedarfskategorie „sehr hoch“</t>
  </si>
  <si>
    <t>Gesetzliche/vertragliche Regelungen, die die Vertraulichkeit der Informationen fordern, sind entweder nicht existent oder die Kenntnisnahme der Informationen durch Unbefugte führt zu geringen Verstößen gegen gesetzliche/vertragliche Regelungen und damit zu geringfügigen juristischen Konsequenzen/Vertragsstrafen.</t>
  </si>
  <si>
    <t>Gesetzliche/vertragliche Regelungen, die die Integrität der Informationen fordern, sind entweder nicht existent oder die Verfälschung/Manipulation der Informationen führt zu geringen Verstößen gegen gesetzliche/vertragliche Regelungen und damit zu geringfügigen juristischen Konsequenzen/Vertragsstrafen.</t>
  </si>
  <si>
    <t>Gesetzliche/vertragliche Regelungen, die die Verfügbarkeit der Informationen fordern, sind entweder nicht existent oder die Nichtverfügbarkeit der Information (Ausfall der Anwendung oder Störung der Datenübertragung) führt nicht zur Nichteinhaltung zwingender Termine und damit zu geringfügigen juristischen Konsequenzen/Vertragsstrafen.</t>
  </si>
  <si>
    <t>Die Kenntnisnahme der Informationen durch Unbefugte führt zu erheblichen Verstößen gegen gesetzliche/vertragliche Regelungen und damit zu erheblichen juristischen Konsequenzen/Vertragsstrafen.</t>
  </si>
  <si>
    <t>Die Verfälschung/Manipulation der Informationen führt zu erheblichen Verstößen gegen gesetzliche/vertragliche Regelungen und damit zu erheblichen juristischen Konsequenzen/Vertragsstrafen.</t>
  </si>
  <si>
    <t>Die Nichtverfügbarkeit führt zu erheblichen Verstößen gegen gesetzliche/vertragliche Regelungen. Die Einhaltung zwingender Termine wird gefährdet; erhebliche juristische Konsequenzen/Vertragsstrafen können entstehen.</t>
  </si>
  <si>
    <t>Die Kenntnisnahme der Informationen durch Unbefugte führt zu fundamentalen Verstößen gegen gesetzliche/vertragliche Regelungen und damit zu massiven juristischen Konsequenzen/Vertragsstrafen.</t>
  </si>
  <si>
    <t>Die Verfälschung/Manipulation der Informationen führt zu fundamentalen Verstößen gegen gesetzliche/vertragliche Regelungen und damit zu massiven juristischen Konsequenzen/Vertragsstrafen.</t>
  </si>
  <si>
    <t>Die Nichtverfügbarkeit der Informationen führt zu fundamentalen Verstößen gegen gesetzliche/vertragliche Regelungen. Zwingend einzuhaltende Termine werden versäumt, massive juristische Konsequenzen/Vertragsstrafen können entstehen.</t>
  </si>
  <si>
    <t>Es erfolgt keine Verarbeitung von personenbezogenen Daten oder die Kenntnisnahme der personenbezogenen Daten durch Unbefugte hat geringfügige Auswirkungen auf die Betroffenen und wird von diesen toleriert.</t>
  </si>
  <si>
    <t>Es erfolgt keine Verarbeitung von personenbezogenen Daten oder die Verfälschung/Manipulation personenbezogener Daten hat geringfügige Auswirkungen auf die Betroffenen und wird von diesen toleriert.</t>
  </si>
  <si>
    <t>Es erfolgt keine Verarbeitung von personenbezogenen Daten oder die Nichtverfügbarkeit personenbezogener Daten hat keine Auswirkungen auf die Betroffenen.</t>
  </si>
  <si>
    <t>Die Kenntnisnahme der personenbezogenen Daten durch Unbefugte hat erhebliche Auswirkungen auf die Betroffenen und kann sie in ihrer gesellschaftlichen Stellung oder ihren wirtschaftlichen Verhältnissen erheblich beeinträchtigen. Dies ist z. B. der Fall, wenn Informationen über den Gesundheitszustand oder die finanziellen Verhältnisse enthalten sind.</t>
  </si>
  <si>
    <t>Die Verfälschung/Manipulation personenbezogener Daten hat erhebliche Auswirkungen auf die Betroffenen und kann diese in ihrer gesellschaftlichen Stellung oder ihren wirtschaftlichen Verhältnissen erheblich beeinträchtigen.</t>
  </si>
  <si>
    <t>Die Nichtverfügbarkeit der Daten hat erhebliche Auswirkungen auf die Betroffenen und kann diese in ihrer gesellschaftlichen Stellung beeinträchtigen oder zu persönlichen oder wirtschaftlichen Nachteilen führen. Das ist z. B. der Fall, wenn durch Ausfall der Anwendung oder Störung der Datenübertragung personenbezogene Daten verloren gehen oder verfälscht werden.</t>
  </si>
  <si>
    <t>Die Kenntnisnahme der personenbezogenen Daten durch Unbefugte hat fundamentale Auswirkungen auf die Betroffenen und kann für diese eine Gefahr für Leib und Leben oder die persönliche Freiheit darstellen. Dies ist z. B. der Fall, wenn Daten von Personen mit speziellen Funktionen/Befugnissen durch Unbefugte zur Kenntnis genommen werden können.</t>
  </si>
  <si>
    <t>Die Verfälschung/Manipulation personenbezogener Daten hat fundamentale Auswirkungen auf die Betroffenen und kann für diese eine Gefahr für Leib und Leben oder die persönliche Freiheit darstellen.</t>
  </si>
  <si>
    <t>Die Nichtverfügbarkeit der Daten hat fundamentale Auswirkungen auf die Betroffenen und kann für diese eine Gefahr für Leib und Leben oder die persönliche Freiheit darstellen. Das ist z. B. der Fall, wenn durch Ausfall der Anwendung oder Störung der Datenübertragung personenbezogene Daten verloren gehen oder verfälscht werden.</t>
  </si>
  <si>
    <t>Die Kenntnisnahme der Informationen durch Unbefugte führt nicht zu einer Beeinträchtigung der persönlichen Unversehrtheit.</t>
  </si>
  <si>
    <t>Die Verfälschung/Manipulation der Informationen oder Programmabläufe führt nicht zu einer Beeinträchtigung der persönlichen Unversehrtheit.</t>
  </si>
  <si>
    <t>Die Nichtverfügbarkeit der Informationen führt nicht zu einer Beeinträchtigung der persönlichen Unversehrtheit.</t>
  </si>
  <si>
    <t>Eine Beeinträchtigung der persönlichen Unversehrtheit durch Kenntnisnahme der Informationen durch Unbefugte kann nicht absolut ausgeschlossen werden.</t>
  </si>
  <si>
    <t>Eine Beeinträchtigung der persönlichen Unversehrtheit durch Verfälschung/Manipulation der Informationen oder Programmabläufe kann nicht absolut ausgeschlossen werden.</t>
  </si>
  <si>
    <t>Eine Beeinträchtigung der persönlichen Unversehrtheit durch Nichtverfügbarkeit der Informationen (Ausfall der Anwendung oder Störung der Datenübertragung) kann nicht absolut ausgeschlossen werden.</t>
  </si>
  <si>
    <t>Durch Kenntnisnahme der Informationen durch Unbefugte sind gravierende Beeinträchtigungen der persönlichen Unversehrtheit möglich. Es besteht Gefahr für Leib und Leben.</t>
  </si>
  <si>
    <t>Durch Verfälschung/Manipulation der Informationen oder Programmabläufe sind gravierende Beeinträchtigungen der persönlichen Unversehrtheit möglich. Es besteht Gefahr für Leib und Leben.</t>
  </si>
  <si>
    <t>Durch Ausfall der Anwendung / des IT-Systems oder Störung der Datenübertragung sind gravierende Beeinträchtigungen der persönlichen Unversehrtheit möglich. Es besteht Gefahr für Leib und Leben.</t>
  </si>
  <si>
    <t>Die Vertraulichkeit der Informationen ist nicht Grundlage der Aufgabenerfüllung oder die Kenntnisnahme der Informationen durch Unbefugte hat geringfügige Auswirkungen auf die Aufgabenerfüllung und wird von den Betroffenen toleriert.</t>
  </si>
  <si>
    <t>Die Integrität der Informationen ist nicht Grundlage der Aufgabenerfüllung oder die Verfälschung/Manipulation der Informationen hat geringfügige Auswirkungen auf die Aufgabenerfüllung und wird von den Betroffenen toleriert.</t>
  </si>
  <si>
    <t>Die Verfügbarkeit der Informationen ist nicht Grundlage der Aufgabenerfüllung oder die Nichtverfügbarkeit der Informationen hat geringfügige Auswirkungen auf die Aufgabenerfüllung und wird auch bei einer Dauer über 24 Stunden hinaus von den Betroffenen toleriert.</t>
  </si>
  <si>
    <t>Die Vertraulichkeit der Informationen ist Grundlage der Aufgabenerfüllung; die Kenntnisnahme durch Unbefugte hat erhebliche Auswirkungen auf die Aufgabenerfüllung und wird von einzelnen Betroffenen als nicht tolerierbar eingeschätzt.</t>
  </si>
  <si>
    <t>Die Verfälschung/Manipulation der Informationen hat erhebliche Auswirkungen auf die Aufgabenerfüllung und wird von einzelnen Betroffenen als nicht tolerierbar eingeschätzt.</t>
  </si>
  <si>
    <t>Die Nichtverfügbarkeit der Informationen hat erhebliche Auswirkungen auf die Aufgabenerfüllung und kann nur bei einer Dauer zwischen 1 Stunde und 24 Stunden von den Betroffenen toleriert werden.</t>
  </si>
  <si>
    <t>Die Vertraulichkeit der Informationen ist Grundlage der Aufgabenerfüllung; die Kenntnisnahme durch Unbefugte hat fundamentale Auswirkungen auf die Aufgabenerfüllung und wird von allen Betroffenen als nicht tolerierbar eingeschätzt.</t>
  </si>
  <si>
    <t>Die Verfälschung/Manipulation der Informationen hat fundamentale Auswirkungen auf die Aufgabenerfüllung und wird von allen Betroffenen als nicht tolerierbar eingeschätzt.</t>
  </si>
  <si>
    <t>Die Nichtverfügbarkeit der Informationen hat fundamentale Auswirkungen auf die Aufgabenerfüllung und kann nur bis zu einer Dauer von 1 Stunde von den Betroffenen toleriert werden.</t>
  </si>
  <si>
    <t>Es erfolgt keine Verarbeitung von schutzbedürftigen Informationen oder die Kenntnisnahme der Informationen durch Unbefugte führt zu einer geringen bzw. nur ressortinternen Ansehens-/Vertrauensbeeinträchtigung.</t>
  </si>
  <si>
    <t>Es erfolgt keine Verarbeitung von schutzbedürftigen Informationen oder die Verfälschung/Manipulation der Informationen führt zu einer geringen bzw. nur ressortinternen Ansehens-/Vertrauensbeeinträchtigung.</t>
  </si>
  <si>
    <t>Es erfolgt keine Verarbeitung von schutzbedürftigen Informationen oder die Nichtverfügbarkeit der Informationen führt zu einer geringen bzw. nur ressortinternen Ansehens-/Vertrauensbeeinträchtigung.</t>
  </si>
  <si>
    <t>Die Kenntnisnahme der Informationen durch Unbefugte führt zu einer erheblichen Ansehens-/Vertrauensbeeinträchtigung auch außerhalb des Ressorts.</t>
  </si>
  <si>
    <t>Die Verfälschung/Manipulation der Informationen führt zu einer erheblichen Ansehens-/Vertrauensbeeinträchtigung auch außerhalb des Ressorts.</t>
  </si>
  <si>
    <t>Die Nichtverfügbarkeit der Informationen führt zu einer erheblichen Ansehens-/Vertrauensbeeinträchtigung auch außerhalb des Ressorts.</t>
  </si>
  <si>
    <t>Die Kenntnisnahme der Informationen durch Unbefugte führt zu einer dauerhaften Ansehens-/Vertrauensbeeinträchtigung außerhalb des Ressorts, ggf. sogar auf internationaler Ebene.</t>
  </si>
  <si>
    <t>Die Verfälschung/Manipulation der Informationen führt zu einer dauerhaften Ansehens-/Vertrauensbeeinträchtigung außerhalb des Ressorts, ggf. sogar auf internationaler Ebene.</t>
  </si>
  <si>
    <t>Die Nichtverfügbarkeit der Informationen führt zu einer dauerhaften Ansehens-/Vertrauensbeeinträchtigung außerhalb des Ressorts, ggf. sogar auf internationaler Ebene.</t>
  </si>
  <si>
    <t>Es erfolgt keine Verarbeitung von schutzbedürftigen Informationen oder die Kenntnisnahme der Informationen durch Unbefugte hat geringfügige finanzielle Auswirkungen (Schaden unter 1.000.000 €).</t>
  </si>
  <si>
    <t>Es erfolgt keine Verarbeitung von schutzbedürftigen Informationen oder die Verfälschung/Manipulation der Informationen hat geringfügige finanzielle Auswirkungen (Schaden unter 1.000.000 €).</t>
  </si>
  <si>
    <t>Es erfolgt keine Verarbeitung von schutzbedürftigen Informationen oder die Nichtverfügbarkeit der Informationen hat geringfügige finanzielle Auswirkungen (Schaden unter 1.000.000 €).</t>
  </si>
  <si>
    <t>Die Kenntnisnahme der Informationen durch Unbefugte hat erhebliche finanzielle Auswirkungen (Schaden über 1.000.000 €).</t>
  </si>
  <si>
    <t>Die Verfälschung/Manipulation der Informationen hat erhebliche finanzielle Auswirkungen (Schaden über 1.000.000 €).</t>
  </si>
  <si>
    <t>Die Nichtverfügbarkeit der Informationen hat erhebliche finanzielle Auswirkungen (Schaden über 1.000.000 €).</t>
  </si>
  <si>
    <t>Die Kenntnisnahme der Informationen durch Unbefugte hat fundamentale finanzielle Auswirkungen (Schaden über 10.000.000 €).</t>
  </si>
  <si>
    <t>Die Verfälschung/Manipulation der Informationen hat fundamentale finanzielle Auswirkungen (Schaden über 10.000.000 €).</t>
  </si>
  <si>
    <t>Die Nichtverfügbarkeit der Informationen hat fundamentale finanzielle Auswirkungen (Schaden über 10.000.000 €).</t>
  </si>
  <si>
    <t>Maximumprinzip: Der Schutzbedarf eines Grundwerts entspricht der höchsten Einstufung aller Schadensszenarien. Kumulations-, Verteilungs- und Vererbungseffekte werden als manuelle Übersteuerung mit Begründung dokumentiert.</t>
  </si>
  <si>
    <t>Grundwert: Vertraulichkeit</t>
  </si>
  <si>
    <t>Grundwert: Integrität</t>
  </si>
  <si>
    <t>Grundwert: Verfügbarkeit</t>
  </si>
  <si>
    <t>Spalte</t>
  </si>
  <si>
    <t>Wert</t>
  </si>
  <si>
    <t>G3</t>
  </si>
  <si>
    <t>G39</t>
  </si>
  <si>
    <t>G76</t>
  </si>
  <si>
    <t>G9</t>
  </si>
  <si>
    <t>G45</t>
  </si>
  <si>
    <t>G82</t>
  </si>
  <si>
    <t>G17</t>
  </si>
  <si>
    <t>G51</t>
  </si>
  <si>
    <t>G88</t>
  </si>
  <si>
    <t>G23</t>
  </si>
  <si>
    <t>G54</t>
  </si>
  <si>
    <t>G91</t>
  </si>
  <si>
    <t>G29</t>
  </si>
  <si>
    <t>G60</t>
  </si>
  <si>
    <t>G97</t>
  </si>
  <si>
    <t>G66</t>
  </si>
  <si>
    <t>G103</t>
  </si>
  <si>
    <t>Summe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</si>
</sst>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hh:mm"/>
    <numFmt numFmtId="165" formatCode="dd.mm.yyyy"/>
  </numFmts>
  <fonts count="13" x14ac:knownFonts="1">
    <font>
      <color theme="1"/>
      <family val="2"/>
      <scheme val="minor"/>
      <sz val="11"/>
      <name val="Calibri"/>
    </font>
    <font>
      <b/>
      <color rgb="FFFFFFFF"/>
      <sz val="18"/>
      <name val="Calibri"/>
    </font>
    <font>
      <color rgb="FF5B6778"/>
      <sz val="8"/>
      <name val="Calibri"/>
    </font>
    <font>
      <b/>
      <sz val="10"/>
      <name val="Calibri"/>
    </font>
    <font>
      <sz val="10"/>
      <name val="Calibri"/>
    </font>
    <font>
      <b/>
      <color rgb="FFFFFFFF"/>
      <sz val="10"/>
      <name val="Calibri"/>
    </font>
    <font>
      <b/>
      <color rgb="FF5B6778"/>
      <sz val="9"/>
      <name val="Calibri"/>
    </font>
    <font>
      <b/>
      <sz val="11"/>
      <name val="Calibri"/>
    </font>
    <font>
      <sz val="9"/>
      <name val="Calibri"/>
    </font>
    <font>
      <b/>
      <sz val="12"/>
      <name val="Calibri"/>
    </font>
    <font>
      <b/>
      <color rgb="FFFFFFFF"/>
      <sz val="12"/>
      <name val="Calibri"/>
    </font>
    <font>
      <b/>
      <sz val="9"/>
      <name val="Calibri"/>
    </font>
    <font>
      <color rgb="FF5B6778"/>
      <sz val="9"/>
      <name val="Calibri"/>
    </font>
  </fonts>
  <fills count="7">
    <fill>
      <patternFill patternType="none"/>
    </fill>
    <fill>
      <patternFill patternType="gray125"/>
    </fill>
    <fill>
      <patternFill patternType="solid">
        <fgColor rgb="FF10263E"/>
      </patternFill>
    </fill>
    <fill>
      <patternFill patternType="solid">
        <fgColor rgb="FFEEF3FB"/>
      </patternFill>
    </fill>
    <fill>
      <patternFill patternType="solid">
        <fgColor rgb="FF10B981"/>
      </patternFill>
    </fill>
    <fill>
      <patternFill patternType="solid">
        <fgColor rgb="FFF59E0B"/>
      </patternFill>
    </fill>
    <fill>
      <patternFill patternType="solid">
        <fgColor rgb="FFEF4444"/>
      </patternFill>
    </fill>
  </fills>
  <borders count="2">
    <border>
      <left/>
      <right/>
      <top/>
      <bottom/>
      <diagonal/>
    </border>
    <border>
      <left style="thin">
        <color rgb="FFD5DCE6"/>
      </left>
      <right style="thin">
        <color rgb="FFD5DCE6"/>
      </right>
      <top style="thin">
        <color rgb="FFD5DCE6"/>
      </top>
      <bottom style="thin">
        <color rgb="FFD5DCE6"/>
      </bottom>
      <diagonal/>
    </border>
  </borders>
  <cellStyleXfs count="1">
    <xf numFmtId="0" fontId="0" fillId="0" borderId="0"/>
  </cellStyleXfs>
  <cellXfs count="24">
    <xf numFmtId="0" fontId="0" fillId="0" borderId="0" xfId="0"/>
    <xf numFmtId="0" fontId="1" fillId="2" borderId="0" xfId="0" applyFont="1" applyFill="1" applyAlignment="1">
      <alignment horizontal="left" vertical="center" indent="1"/>
    </xf>
    <xf numFmtId="0" fontId="2" fillId="0" borderId="0" xfId="0" applyFont="1" applyAlignment="1">
      <alignment vertical="top" wrapText="1"/>
    </xf>
    <xf numFmtId="0" fontId="3" fillId="0" borderId="0" xfId="0" applyFont="1" applyAlignment="1">
      <alignment vertical="top" wrapText="1"/>
    </xf>
    <xf numFmtId="0" fontId="4" fillId="3" borderId="1" xfId="0" applyFont="1" applyFill="1" applyBorder="1" applyAlignment="1">
      <alignment vertical="top" wrapText="1"/>
    </xf>
    <xf numFmtId="164" fontId="4" fillId="3" borderId="1" xfId="0" applyNumberFormat="1" applyFont="1" applyFill="1" applyBorder="1" applyAlignment="1">
      <alignment vertical="top" wrapText="1"/>
    </xf>
    <xf numFmtId="0" fontId="5" fillId="2" borderId="0" xfId="0" applyFont="1" applyFill="1" applyAlignment="1">
      <alignment vertical="center" wrapText="1"/>
    </xf>
    <xf numFmtId="0" fontId="6" fillId="0" borderId="0" xfId="0" applyFont="1" applyAlignment="1">
      <alignment horizontal="center" vertical="center" wrapText="1" textRotation="90"/>
    </xf>
    <xf numFmtId="0" fontId="7" fillId="0" borderId="1" xfId="0" applyFont="1" applyBorder="1" applyAlignment="1">
      <alignment horizontal="center" vertical="center"/>
    </xf>
    <xf numFmtId="0" fontId="8" fillId="0" borderId="1" xfId="0" applyFont="1" applyBorder="1" applyAlignment="1">
      <alignment vertical="top" wrapText="1"/>
    </xf>
    <xf numFmtId="0" fontId="9" fillId="0" borderId="0" xfId="0" applyFont="1" applyAlignment="1">
      <alignment vertical="top"/>
    </xf>
    <xf numFmtId="165" fontId="8" fillId="0" borderId="1" xfId="0" applyNumberFormat="1" applyFont="1" applyBorder="1" applyAlignment="1">
      <alignment vertical="top" wrapText="1"/>
    </xf>
    <xf numFmtId="0" fontId="10" fillId="2" borderId="0" xfId="0" applyFont="1" applyFill="1" applyAlignment="1">
      <alignment vertical="center" wrapText="1"/>
    </xf>
    <xf numFmtId="0" fontId="9" fillId="0" borderId="0" xfId="0" applyFont="1" applyAlignment="1">
      <alignment horizontal="center" vertical="center"/>
    </xf>
    <xf numFmtId="0" fontId="11" fillId="3" borderId="1" xfId="0" applyFont="1" applyFill="1" applyBorder="1" applyAlignment="1">
      <alignment vertical="top" wrapText="1"/>
    </xf>
    <xf numFmtId="0" fontId="11" fillId="0" borderId="1" xfId="0" applyFont="1" applyBorder="1" applyAlignment="1">
      <alignment vertical="top" wrapText="1"/>
    </xf>
    <xf numFmtId="0" fontId="8" fillId="0" borderId="1" xfId="0" applyFont="1" applyBorder="1" applyAlignment="1">
      <alignment horizontal="center" vertical="top"/>
    </xf>
    <xf numFmtId="0" fontId="3" fillId="0" borderId="1" xfId="0" applyFont="1" applyBorder="1" applyAlignment="1">
      <alignment horizontal="center" vertical="center" wrapText="1"/>
    </xf>
    <xf numFmtId="0" fontId="12" fillId="0" borderId="1" xfId="0" applyFont="1" applyBorder="1" applyAlignment="1">
      <alignment vertical="top" wrapText="1"/>
    </xf>
    <xf numFmtId="0" fontId="11" fillId="0" borderId="1" xfId="0" applyFont="1" applyBorder="1" applyAlignment="1">
      <alignment horizontal="center" vertical="top"/>
    </xf>
    <xf numFmtId="0" fontId="5" fillId="4" borderId="0" xfId="0" applyFont="1" applyFill="1" applyAlignment="1">
      <alignment vertical="top" wrapText="1"/>
    </xf>
    <xf numFmtId="0" fontId="5" fillId="5" borderId="0" xfId="0" applyFont="1" applyFill="1" applyAlignment="1">
      <alignment vertical="top" wrapText="1"/>
    </xf>
    <xf numFmtId="0" fontId="5" fillId="6" borderId="0" xfId="0" applyFont="1" applyFill="1" applyAlignment="1">
      <alignment vertical="top" wrapText="1"/>
    </xf>
    <xf numFmtId="0" fontId="12" fillId="0" borderId="0" xfId="0" applyFont="1" applyAlignment="1">
      <alignment vertical="top" wrapText="1"/>
    </xf>
  </cellXfs>
  <cellStyles count="1">
    <cellStyle name="Normal" xfId="0" builtinId="0"/>
  </cellStyles>
  <dxfs count="97">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b/>
        <color rgb="FFFFFFFF"/>
      </font>
      <fill>
        <patternFill patternType="solid">
          <bgColor rgb="FFEF4444"/>
        </patternFill>
      </fill>
    </dxf>
    <dxf>
      <font>
        <b/>
        <color rgb="FFFFFFFF"/>
      </font>
      <fill>
        <patternFill patternType="solid">
          <bgColor rgb="FFF59E0B"/>
        </patternFill>
      </fill>
    </dxf>
    <dxf>
      <font>
        <b/>
        <color rgb="FFFFFFFF"/>
      </font>
      <fill>
        <patternFill patternType="solid">
          <bgColor rgb="FF10B981"/>
        </patternFill>
      </fill>
    </dxf>
    <dxf>
      <font>
        <b/>
        <color rgb="FF374151"/>
      </font>
      <fill>
        <patternFill patternType="solid">
          <bgColor rgb="FFE5E7EB"/>
        </patternFill>
      </fill>
    </dxf>
    <dxf>
      <font>
        <color rgb="FF5B677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2"/>
  <sheetViews>
    <sheetView workbookViewId="0" showGridLines="0"/>
  </sheetViews>
  <sheetFormatPr defaultRowHeight="15" outlineLevelRow="0" outlineLevelCol="0" x14ac:dyDescent="55"/>
  <cols>
    <col min="1" max="1" width="5" customWidth="1"/>
    <col min="2" max="2" width="4" customWidth="1"/>
    <col min="3" max="3" width="24.7" customWidth="1"/>
    <col min="4" max="4" width="6" customWidth="1"/>
    <col min="5" max="5" width="23.3" customWidth="1"/>
    <col min="6" max="7" width="4" customWidth="1"/>
    <col min="8" max="8" width="30.5" customWidth="1"/>
    <col min="9" max="9" width="40.7" customWidth="1"/>
  </cols>
  <sheetData>
    <row r="1" spans="1:5" x14ac:dyDescent="0.25">
      <c r="A1" s="1" t="s">
        <v>0</v>
      </c>
      <c r="B1" s="1"/>
      <c r="C1" s="1"/>
      <c r="D1" s="1"/>
      <c r="E1" s="1"/>
    </row>
    <row r="2" spans="1:5" x14ac:dyDescent="0.25">
      <c r="A2" s="1"/>
      <c r="B2" s="1"/>
      <c r="C2" s="1"/>
      <c r="D2" s="1"/>
      <c r="E2" s="1"/>
    </row>
    <row r="3" spans="1:9" x14ac:dyDescent="0.25">
      <c r="A3" s="1"/>
      <c r="B3" s="1"/>
      <c r="C3" s="1"/>
      <c r="D3" s="1"/>
      <c r="E3" s="1"/>
      <c r="H3" s="2" t="s">
        <v>1</v>
      </c>
      <c r="I3" s="2"/>
    </row>
    <row r="4" spans="1:9" x14ac:dyDescent="0.25">
      <c r="A4" s="1"/>
      <c r="B4" s="1"/>
      <c r="C4" s="1"/>
      <c r="D4" s="1"/>
      <c r="E4" s="1"/>
      <c r="H4" s="2"/>
      <c r="I4" s="2"/>
    </row>
    <row r="5" spans="1:5" x14ac:dyDescent="0.25">
      <c r="A5" s="3" t="s">
        <v>2</v>
      </c>
      <c r="B5" s="3"/>
      <c r="C5" s="3"/>
      <c r="D5" s="4" t="s">
        <v>3</v>
      </c>
      <c r="E5" s="4"/>
    </row>
    <row r="6" spans="4:5" x14ac:dyDescent="0.25">
      <c r="E6"/>
    </row>
    <row r="7" spans="1:5" x14ac:dyDescent="0.25">
      <c r="A7" s="3" t="s">
        <v>4</v>
      </c>
      <c r="B7" s="3"/>
      <c r="C7" s="3"/>
      <c r="D7" s="4" t="s">
        <v>5</v>
      </c>
      <c r="E7" s="4"/>
    </row>
    <row r="8" spans="4:5" x14ac:dyDescent="0.25">
      <c r="E8"/>
    </row>
    <row r="9" spans="1:5" x14ac:dyDescent="0.25">
      <c r="A9" s="3" t="s">
        <v>6</v>
      </c>
      <c r="B9" s="3"/>
      <c r="C9" s="3"/>
      <c r="D9" s="4" t="s">
        <v>7</v>
      </c>
      <c r="E9" s="4"/>
    </row>
    <row r="10" spans="4:5" x14ac:dyDescent="0.25">
      <c r="E10"/>
    </row>
    <row r="11" spans="1:9" x14ac:dyDescent="0.25">
      <c r="A11" s="3" t="s">
        <v>8</v>
      </c>
      <c r="B11" s="3"/>
      <c r="C11" s="3"/>
      <c r="D11" s="5">
        <v>46295.371595289354</v>
      </c>
      <c r="E11" s="5"/>
      <c r="F11" s="3" t="s">
        <v>9</v>
      </c>
      <c r="G11" s="3"/>
      <c r="H11" s="4" t="s">
        <v>10</v>
      </c>
      <c r="I11" s="4"/>
    </row>
    <row r="12" spans="1:9" x14ac:dyDescent="0.25">
      <c r="A12" s="3" t="s">
        <v>11</v>
      </c>
      <c r="B12" s="3"/>
      <c r="C12" s="3"/>
      <c r="D12" s="5"/>
      <c r="E12" s="5"/>
      <c r="F12" s="3" t="s">
        <v>9</v>
      </c>
      <c r="G12" s="3"/>
      <c r="H12" s="4"/>
      <c r="I12" s="4"/>
    </row>
    <row r="13" spans="1:9" x14ac:dyDescent="0.25">
      <c r="A13" s="3" t="s">
        <v>12</v>
      </c>
      <c r="B13" s="3"/>
      <c r="C13" s="3"/>
      <c r="D13" s="5"/>
      <c r="E13" s="5"/>
      <c r="F13" s="3" t="s">
        <v>9</v>
      </c>
      <c r="G13" s="3"/>
      <c r="H13" s="4"/>
      <c r="I13" s="4"/>
    </row>
    <row r="15" spans="1:5" x14ac:dyDescent="0.25">
      <c r="A15" s="3" t="s">
        <v>13</v>
      </c>
      <c r="B15" s="3"/>
      <c r="C15" s="3"/>
      <c r="D15" s="4" t="s">
        <v>14</v>
      </c>
      <c r="E15" s="4"/>
    </row>
    <row r="16" spans="1:5" x14ac:dyDescent="0.25">
      <c r="A16" s="3" t="s">
        <v>15</v>
      </c>
      <c r="B16" s="3"/>
      <c r="C16" s="3"/>
      <c r="D16" s="4" t="s">
        <v>14</v>
      </c>
      <c r="E16" s="4"/>
    </row>
    <row r="18" spans="1:9" x14ac:dyDescent="0.25">
      <c r="A18" s="3" t="s">
        <v>16</v>
      </c>
      <c r="B18" s="3"/>
      <c r="C18" s="3"/>
      <c r="D18" s="4" t="s">
        <v>17</v>
      </c>
      <c r="E18" s="4"/>
      <c r="F18" s="3" t="s">
        <v>18</v>
      </c>
      <c r="G18" s="3"/>
      <c r="H18" s="3"/>
      <c r="I18" s="4" t="s">
        <v>19</v>
      </c>
    </row>
    <row r="20" spans="1:9" x14ac:dyDescent="0.25">
      <c r="A20" s="6" t="s">
        <v>20</v>
      </c>
      <c r="B20" s="6"/>
      <c r="C20" s="6"/>
      <c r="D20" s="6"/>
      <c r="E20" s="6"/>
      <c r="F20" s="6" t="s">
        <v>21</v>
      </c>
      <c r="G20" s="6"/>
      <c r="H20" s="6"/>
      <c r="I20" s="6"/>
    </row>
    <row r="21" ht="48" customHeight="1" spans="1:9" x14ac:dyDescent="0.25">
      <c r="A21" s="7" t="s">
        <v>22</v>
      </c>
      <c r="B21" s="7"/>
      <c r="C21" s="3" t="s">
        <v>23</v>
      </c>
      <c r="D21" s="8" t="str">
        <f>IF(Anwendung!E35&lt;&gt;"",Anwendung!E35,Anwendung!E1)</f>
        <v>Hoch</v>
      </c>
      <c r="E21" s="8"/>
      <c r="F21" s="9" t="s">
        <v>24</v>
      </c>
      <c r="G21" s="9"/>
      <c r="H21" s="9"/>
      <c r="I21" s="9"/>
    </row>
    <row r="22" ht="48" customHeight="1" spans="1:9" x14ac:dyDescent="0.25">
      <c r="A22" s="7"/>
      <c r="B22" s="7"/>
      <c r="C22" s="3" t="s">
        <v>25</v>
      </c>
      <c r="D22" s="8" t="str">
        <f>IF(Anwendung!E72&lt;&gt;"",Anwendung!E72,Anwendung!E37)</f>
        <v>Normal</v>
      </c>
      <c r="E22" s="8"/>
      <c r="F22" s="9" t="s">
        <v>14</v>
      </c>
      <c r="G22" s="9"/>
      <c r="H22" s="9"/>
      <c r="I22" s="9"/>
    </row>
    <row r="23" ht="48" customHeight="1" spans="1:9" x14ac:dyDescent="0.25">
      <c r="A23" s="7"/>
      <c r="B23" s="7"/>
      <c r="C23" s="3" t="s">
        <v>26</v>
      </c>
      <c r="D23" s="8" t="str">
        <f>IF(Anwendung!E109&lt;&gt;"",Anwendung!E109,Anwendung!E74)</f>
        <v>Sehr hoch</v>
      </c>
      <c r="E23" s="8"/>
      <c r="F23" s="9" t="s">
        <v>27</v>
      </c>
      <c r="G23" s="9"/>
      <c r="H23" s="9"/>
      <c r="I23" s="9"/>
    </row>
    <row r="24" spans="4:8" x14ac:dyDescent="0.25">
      <c r="E24"/>
      <c r="F24"/>
      <c r="G24"/>
      <c r="H24"/>
    </row>
    <row r="25" spans="1:1" x14ac:dyDescent="0.25">
      <c r="A25" s="10" t="s">
        <v>28</v>
      </c>
    </row>
    <row r="26" spans="1:9" x14ac:dyDescent="0.25">
      <c r="A26" s="6" t="s">
        <v>29</v>
      </c>
      <c r="B26" s="6" t="s">
        <v>30</v>
      </c>
      <c r="C26" s="6"/>
      <c r="D26" s="6" t="s">
        <v>31</v>
      </c>
      <c r="E26" s="6"/>
      <c r="F26" s="6" t="s">
        <v>32</v>
      </c>
      <c r="G26" s="6"/>
      <c r="H26" s="6"/>
      <c r="I26" s="6" t="s">
        <v>33</v>
      </c>
    </row>
    <row r="27" spans="1:9" x14ac:dyDescent="0.25">
      <c r="A27" s="9">
        <v>1</v>
      </c>
      <c r="B27" s="9" t="s">
        <v>5</v>
      </c>
      <c r="C27" s="9"/>
      <c r="D27" s="11">
        <v>46295.371595289354</v>
      </c>
      <c r="E27" s="11"/>
      <c r="F27" s="9" t="s">
        <v>34</v>
      </c>
      <c r="G27" s="9"/>
      <c r="H27" s="9"/>
      <c r="I27" s="9" t="s">
        <v>10</v>
      </c>
    </row>
    <row r="28" spans="1:9" x14ac:dyDescent="0.25">
      <c r="A28" s="9">
        <v>2</v>
      </c>
      <c r="B28" s="9"/>
      <c r="C28" s="9"/>
      <c r="D28" s="11"/>
      <c r="E28" s="11"/>
      <c r="F28" s="9"/>
      <c r="G28" s="9"/>
      <c r="H28" s="9"/>
      <c r="I28" s="9"/>
    </row>
    <row r="29" spans="1:9" x14ac:dyDescent="0.25">
      <c r="A29" s="9">
        <v>3</v>
      </c>
      <c r="B29" s="9"/>
      <c r="C29" s="9"/>
      <c r="D29" s="11"/>
      <c r="E29" s="11"/>
      <c r="F29" s="9"/>
      <c r="G29" s="9"/>
      <c r="H29" s="9"/>
      <c r="I29" s="9"/>
    </row>
    <row r="30" spans="1:9" x14ac:dyDescent="0.25">
      <c r="A30" s="9">
        <v>4</v>
      </c>
      <c r="B30" s="9"/>
      <c r="C30" s="9"/>
      <c r="D30" s="11"/>
      <c r="E30" s="11"/>
      <c r="F30" s="9"/>
      <c r="G30" s="9"/>
      <c r="H30" s="9"/>
      <c r="I30" s="9"/>
    </row>
    <row r="31" spans="1:9" x14ac:dyDescent="0.25">
      <c r="A31" s="9">
        <v>5</v>
      </c>
      <c r="B31" s="9"/>
      <c r="C31" s="9"/>
      <c r="D31" s="11"/>
      <c r="E31" s="11"/>
      <c r="F31" s="9"/>
      <c r="G31" s="9"/>
      <c r="H31" s="9"/>
      <c r="I31" s="9"/>
    </row>
    <row r="32" spans="1:9" x14ac:dyDescent="0.25">
      <c r="A32" s="9">
        <v>6</v>
      </c>
      <c r="B32" s="9"/>
      <c r="C32" s="9"/>
      <c r="D32" s="11"/>
      <c r="E32" s="11"/>
      <c r="F32" s="9"/>
      <c r="G32" s="9"/>
      <c r="H32" s="9"/>
      <c r="I32" s="9"/>
    </row>
    <row r="33" spans="1:9" x14ac:dyDescent="0.25">
      <c r="A33" s="9">
        <v>7</v>
      </c>
      <c r="B33" s="9"/>
      <c r="C33" s="9"/>
      <c r="D33" s="11"/>
      <c r="E33" s="11"/>
      <c r="F33" s="9"/>
      <c r="G33" s="9"/>
      <c r="H33" s="9"/>
      <c r="I33" s="9"/>
    </row>
    <row r="34" spans="1:9" x14ac:dyDescent="0.25">
      <c r="A34" s="9">
        <v>8</v>
      </c>
      <c r="B34" s="9"/>
      <c r="C34" s="9"/>
      <c r="D34" s="11"/>
      <c r="E34" s="11"/>
      <c r="F34" s="9"/>
      <c r="G34" s="9"/>
      <c r="H34" s="9"/>
      <c r="I34" s="9"/>
    </row>
    <row r="35" spans="1:9" x14ac:dyDescent="0.25">
      <c r="A35" s="9">
        <v>9</v>
      </c>
      <c r="B35" s="9"/>
      <c r="C35" s="9"/>
      <c r="D35" s="11"/>
      <c r="E35" s="11"/>
      <c r="F35" s="9"/>
      <c r="G35" s="9"/>
      <c r="H35" s="9"/>
      <c r="I35" s="9"/>
    </row>
    <row r="36" spans="1:9" x14ac:dyDescent="0.25">
      <c r="A36" s="9">
        <v>10</v>
      </c>
      <c r="B36" s="9"/>
      <c r="C36" s="9"/>
      <c r="D36" s="11"/>
      <c r="E36" s="11"/>
      <c r="F36" s="9"/>
      <c r="G36" s="9"/>
      <c r="H36" s="9"/>
      <c r="I36" s="9"/>
    </row>
    <row r="39" spans="1:9" x14ac:dyDescent="0.25">
      <c r="A39" s="6" t="s">
        <v>35</v>
      </c>
      <c r="B39" s="6"/>
      <c r="C39" s="6"/>
      <c r="D39" s="6"/>
      <c r="E39" s="6"/>
      <c r="F39" s="6"/>
      <c r="G39" s="6"/>
      <c r="H39" s="6"/>
      <c r="I39" s="6"/>
    </row>
    <row r="40" spans="1:9" x14ac:dyDescent="0.25">
      <c r="A40" s="3" t="s">
        <v>36</v>
      </c>
      <c r="B40" s="3"/>
      <c r="C40" s="3"/>
      <c r="D40" s="9" t="s">
        <v>37</v>
      </c>
      <c r="E40" s="9"/>
      <c r="F40" s="9"/>
      <c r="G40" s="9"/>
      <c r="H40" s="9"/>
      <c r="I40" s="9"/>
    </row>
    <row r="41" spans="1:9" x14ac:dyDescent="0.25">
      <c r="A41" s="3" t="s">
        <v>38</v>
      </c>
      <c r="B41" s="3"/>
      <c r="C41" s="3"/>
      <c r="D41" s="9" t="s">
        <v>39</v>
      </c>
      <c r="E41" s="9"/>
      <c r="F41" s="9"/>
      <c r="G41" s="9"/>
      <c r="H41" s="9"/>
      <c r="I41" s="9"/>
    </row>
    <row r="42" spans="1:9" x14ac:dyDescent="0.25">
      <c r="A42" s="3" t="s">
        <v>40</v>
      </c>
      <c r="B42" s="3"/>
      <c r="C42" s="3"/>
      <c r="D42" s="9" t="s">
        <v>41</v>
      </c>
      <c r="E42" s="9"/>
      <c r="F42" s="9"/>
      <c r="G42" s="9"/>
      <c r="H42" s="9"/>
      <c r="I42" s="9"/>
    </row>
    <row r="43" spans="1:9" x14ac:dyDescent="0.25">
      <c r="A43" s="3" t="s">
        <v>42</v>
      </c>
      <c r="B43" s="3"/>
      <c r="C43" s="3"/>
      <c r="D43" s="9" t="s">
        <v>14</v>
      </c>
      <c r="E43" s="9"/>
      <c r="F43" s="9"/>
      <c r="G43" s="9"/>
      <c r="H43" s="9"/>
      <c r="I43" s="9"/>
    </row>
    <row r="44" spans="1:9" x14ac:dyDescent="0.25">
      <c r="A44" s="3" t="s">
        <v>43</v>
      </c>
      <c r="B44" s="3"/>
      <c r="C44" s="3"/>
      <c r="D44" s="9" t="s">
        <v>44</v>
      </c>
      <c r="E44" s="9"/>
      <c r="F44" s="9"/>
      <c r="G44" s="9"/>
      <c r="H44" s="9"/>
      <c r="I44" s="9"/>
    </row>
    <row r="45" spans="1:9" x14ac:dyDescent="0.25">
      <c r="A45" s="3" t="s">
        <v>45</v>
      </c>
      <c r="B45" s="3"/>
      <c r="C45" s="3"/>
      <c r="D45" s="9" t="s">
        <v>14</v>
      </c>
      <c r="E45" s="9"/>
      <c r="F45" s="9"/>
      <c r="G45" s="9"/>
      <c r="H45" s="9"/>
      <c r="I45" s="9"/>
    </row>
    <row r="46" spans="1:9" x14ac:dyDescent="0.25">
      <c r="A46" s="3" t="s">
        <v>46</v>
      </c>
      <c r="B46" s="3"/>
      <c r="C46" s="3"/>
      <c r="D46" s="9" t="s">
        <v>47</v>
      </c>
      <c r="E46" s="9"/>
      <c r="F46" s="9"/>
      <c r="G46" s="9"/>
      <c r="H46" s="9"/>
      <c r="I46" s="9"/>
    </row>
    <row r="47" spans="1:9" x14ac:dyDescent="0.25">
      <c r="A47" s="3" t="s">
        <v>48</v>
      </c>
      <c r="B47" s="3"/>
      <c r="C47" s="3"/>
      <c r="D47" s="9" t="s">
        <v>49</v>
      </c>
      <c r="E47" s="9"/>
      <c r="F47" s="9"/>
      <c r="G47" s="9"/>
      <c r="H47" s="9"/>
      <c r="I47" s="9"/>
    </row>
    <row r="48" spans="1:9" x14ac:dyDescent="0.25">
      <c r="A48" s="3" t="s">
        <v>50</v>
      </c>
      <c r="B48" s="3"/>
      <c r="C48" s="3"/>
      <c r="D48" s="9" t="s">
        <v>51</v>
      </c>
      <c r="E48" s="9"/>
      <c r="F48" s="9"/>
      <c r="G48" s="9"/>
      <c r="H48" s="9"/>
      <c r="I48" s="9"/>
    </row>
    <row r="49" ht="26" customHeight="1" spans="1:9" x14ac:dyDescent="0.25">
      <c r="A49" s="3" t="s">
        <v>52</v>
      </c>
      <c r="B49" s="3"/>
      <c r="C49" s="3"/>
      <c r="D49" s="9" t="s">
        <v>53</v>
      </c>
      <c r="E49" s="9"/>
      <c r="F49" s="9"/>
      <c r="G49" s="9"/>
      <c r="H49" s="9"/>
      <c r="I49" s="9"/>
    </row>
    <row r="50" spans="1:9" x14ac:dyDescent="0.25">
      <c r="A50" s="3" t="s">
        <v>54</v>
      </c>
      <c r="B50" s="3"/>
      <c r="C50" s="3"/>
      <c r="D50" s="9" t="s">
        <v>55</v>
      </c>
      <c r="E50" s="9"/>
      <c r="F50" s="9"/>
      <c r="G50" s="9"/>
      <c r="H50" s="9"/>
      <c r="I50" s="9"/>
    </row>
    <row r="51" spans="1:9" x14ac:dyDescent="0.25">
      <c r="A51" s="3" t="s">
        <v>56</v>
      </c>
      <c r="B51" s="3"/>
      <c r="C51" s="3"/>
      <c r="D51" s="9" t="s">
        <v>14</v>
      </c>
      <c r="E51" s="9"/>
      <c r="F51" s="9"/>
      <c r="G51" s="9"/>
      <c r="H51" s="9"/>
      <c r="I51" s="9"/>
    </row>
    <row r="52" spans="1:9" x14ac:dyDescent="0.25">
      <c r="A52" s="3" t="s">
        <v>57</v>
      </c>
      <c r="B52" s="3"/>
      <c r="C52" s="3"/>
      <c r="D52" s="9" t="s">
        <v>58</v>
      </c>
      <c r="E52" s="9"/>
      <c r="F52" s="9"/>
      <c r="G52" s="9"/>
      <c r="H52" s="9"/>
      <c r="I52" s="9"/>
    </row>
  </sheetData>
  <mergeCells count="100">
    <mergeCell ref="A1:E4"/>
    <mergeCell ref="H3:I4"/>
    <mergeCell ref="A5:C5"/>
    <mergeCell ref="D5:E5"/>
    <mergeCell ref="D6:E6"/>
    <mergeCell ref="A7:C7"/>
    <mergeCell ref="D7:E7"/>
    <mergeCell ref="D8:E8"/>
    <mergeCell ref="A9:C9"/>
    <mergeCell ref="D9:E9"/>
    <mergeCell ref="D10:E10"/>
    <mergeCell ref="A11:C11"/>
    <mergeCell ref="D11:E11"/>
    <mergeCell ref="F11:G11"/>
    <mergeCell ref="H11:I11"/>
    <mergeCell ref="A12:C12"/>
    <mergeCell ref="D12:E12"/>
    <mergeCell ref="F12:G12"/>
    <mergeCell ref="H12:I12"/>
    <mergeCell ref="A13:C13"/>
    <mergeCell ref="D13:E13"/>
    <mergeCell ref="F13:G13"/>
    <mergeCell ref="H13:I13"/>
    <mergeCell ref="A15:C15"/>
    <mergeCell ref="D15:E15"/>
    <mergeCell ref="A16:C16"/>
    <mergeCell ref="D16:E16"/>
    <mergeCell ref="A18:C18"/>
    <mergeCell ref="D18:E18"/>
    <mergeCell ref="F18:H18"/>
    <mergeCell ref="A20:E20"/>
    <mergeCell ref="F20:I20"/>
    <mergeCell ref="A21:B23"/>
    <mergeCell ref="D21:E21"/>
    <mergeCell ref="F21:I21"/>
    <mergeCell ref="D22:E22"/>
    <mergeCell ref="F22:I22"/>
    <mergeCell ref="D23:E23"/>
    <mergeCell ref="F23:I23"/>
    <mergeCell ref="D24:H24"/>
    <mergeCell ref="B26:C26"/>
    <mergeCell ref="D26:E26"/>
    <mergeCell ref="F26:H26"/>
    <mergeCell ref="B27:C27"/>
    <mergeCell ref="D27:E27"/>
    <mergeCell ref="F27:H27"/>
    <mergeCell ref="B28:C28"/>
    <mergeCell ref="D28:E28"/>
    <mergeCell ref="F28:H28"/>
    <mergeCell ref="B29:C29"/>
    <mergeCell ref="D29:E29"/>
    <mergeCell ref="F29:H29"/>
    <mergeCell ref="B30:C30"/>
    <mergeCell ref="D30:E30"/>
    <mergeCell ref="F30:H30"/>
    <mergeCell ref="B31:C31"/>
    <mergeCell ref="D31:E31"/>
    <mergeCell ref="F31:H31"/>
    <mergeCell ref="B32:C32"/>
    <mergeCell ref="D32:E32"/>
    <mergeCell ref="F32:H32"/>
    <mergeCell ref="B33:C33"/>
    <mergeCell ref="D33:E33"/>
    <mergeCell ref="F33:H33"/>
    <mergeCell ref="B34:C34"/>
    <mergeCell ref="D34:E34"/>
    <mergeCell ref="F34:H34"/>
    <mergeCell ref="B35:C35"/>
    <mergeCell ref="D35:E35"/>
    <mergeCell ref="F35:H35"/>
    <mergeCell ref="B36:C36"/>
    <mergeCell ref="D36:E36"/>
    <mergeCell ref="F36:H36"/>
    <mergeCell ref="A39:I39"/>
    <mergeCell ref="A40:C40"/>
    <mergeCell ref="D40:I40"/>
    <mergeCell ref="A41:C41"/>
    <mergeCell ref="D41:I41"/>
    <mergeCell ref="A42:C42"/>
    <mergeCell ref="D42:I42"/>
    <mergeCell ref="A43:C43"/>
    <mergeCell ref="D43:I43"/>
    <mergeCell ref="A44:C44"/>
    <mergeCell ref="D44:I44"/>
    <mergeCell ref="A45:C45"/>
    <mergeCell ref="D45:I45"/>
    <mergeCell ref="A46:C46"/>
    <mergeCell ref="D46:I46"/>
    <mergeCell ref="A47:C47"/>
    <mergeCell ref="D47:I47"/>
    <mergeCell ref="A48:C48"/>
    <mergeCell ref="D48:I48"/>
    <mergeCell ref="A49:C49"/>
    <mergeCell ref="D49:I49"/>
    <mergeCell ref="A50:C50"/>
    <mergeCell ref="D50:I50"/>
    <mergeCell ref="A51:C51"/>
    <mergeCell ref="D51:I51"/>
    <mergeCell ref="A52:C52"/>
    <mergeCell ref="D52:I52"/>
  </mergeCells>
  <conditionalFormatting sqref="D21:E23">
    <cfRule type="expression" dxfId="0" priority="1">
      <formula>D21="Sehr hoch"</formula>
    </cfRule>
    <cfRule type="expression" dxfId="1" priority="2">
      <formula>D21="Hoch"</formula>
    </cfRule>
    <cfRule type="expression" dxfId="2" priority="3">
      <formula>D21="Normal"</formula>
    </cfRule>
    <cfRule type="expression" dxfId="3" priority="4">
      <formula>OR(ISNUMBER(SEARCH("prüfen",D21)),ISNUMBER(SEARCH("ausfüllen",D21)))</formula>
    </cfRule>
  </conditionalFormatting>
  <dataValidations count="3">
    <dataValidation type="list" allowBlank="1" sqref="D18">
      <formula1>"&lt;bitte auswählen&gt;,ja,nein"</formula1>
    </dataValidation>
    <dataValidation type="list" allowBlank="1" sqref="D9">
      <formula1>"&lt;bitte auswählen&gt;,in Bearbeitung,abgeschlossen,fachlich freigegeben,freigegeben"</formula1>
    </dataValidation>
    <dataValidation type="list" allowBlank="1" sqref="I18">
      <formula1>"&lt;bitte auswählen&gt;,ja,nein"</formula1>
    </dataValidation>
  </dataValidations>
  <pageMargins left="0.7" right="0.7" top="0.75" bottom="0.75" header="0.3" footer="0.3"/>
  <pageSetup paperSize="9" orientation="portrait"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09"/>
  <sheetViews>
    <sheetView workbookViewId="0" showGridLines="0"/>
  </sheetViews>
  <sheetFormatPr defaultRowHeight="15" outlineLevelRow="0" outlineLevelCol="0" x14ac:dyDescent="55"/>
  <cols>
    <col min="1" max="1" width="0.83" customWidth="1"/>
    <col min="2" max="2" width="17.66" customWidth="1"/>
    <col min="3" max="3" width="0.66" customWidth="1"/>
    <col min="4" max="4" width="63.5" customWidth="1"/>
    <col min="5" max="5" width="16.33" customWidth="1"/>
    <col min="6" max="6" width="31.66" customWidth="1"/>
    <col min="7" max="7" width="14.66" customWidth="1"/>
    <col min="8" max="8" width="32" customWidth="1"/>
    <col min="9" max="9" width="0.66" customWidth="1"/>
  </cols>
  <sheetData>
    <row r="1" ht="20" customHeight="1" spans="2:7" x14ac:dyDescent="0.25">
      <c r="B1" s="12" t="s">
        <v>59</v>
      </c>
      <c r="C1" s="12"/>
      <c r="D1" s="12"/>
      <c r="E1" s="13" t="str">
        <f>IF(Hilfstabelle!B10=5,"Normal", IF(Hilfstabelle!B10&gt;=1000,"Sehr hoch",IF(Hilfstabelle!B10&gt;=10,"Hoch","Bitte Spalte E ausfüllen")))</f>
        <v>Hoch</v>
      </c>
      <c r="F1" s="13"/>
      <c r="G1" s="13"/>
    </row>
    <row r="2" spans="2:8" x14ac:dyDescent="0.25">
      <c r="B2" s="14" t="s">
        <v>60</v>
      </c>
      <c r="D2" s="14" t="s">
        <v>61</v>
      </c>
      <c r="E2" s="14" t="s">
        <v>62</v>
      </c>
      <c r="F2" s="14" t="s">
        <v>63</v>
      </c>
      <c r="G2" s="14" t="s">
        <v>64</v>
      </c>
      <c r="H2" s="14" t="s">
        <v>65</v>
      </c>
    </row>
    <row r="3" spans="2:8" x14ac:dyDescent="0.25">
      <c r="B3" s="15" t="s">
        <v>66</v>
      </c>
      <c r="D3" s="15" t="s">
        <v>67</v>
      </c>
      <c r="E3" s="16" t="s">
        <v>68</v>
      </c>
      <c r="F3" s="9"/>
      <c r="G3" s="17" t="str">
        <f>IF(AND(E5="Ja",E6="Ja",E7="Ja"),"Eingabe prüfen!",IF(AND(E5="Ja",E6="Ja"),"Eingabe prüfen!",IF(AND(E5="Ja",E7="Ja"),"Eingabe prüfen!",IF(AND(E6="Ja",E7="Ja"),"Eingabe prüfen!",IF(AND(E3="Nein",E5="Ja"),"Eingabe prüfen!",IF(AND(E3="Nein",E6="Ja"),"Eingabe prüfen!",IF(AND(E3="Nein",E7="Ja"),"Eingabe prüfen!",IF(AND(E3="Ja",E5="Nein",E6="Nein",E7="Nein"),"Eingabe prüfen!",IF(OR(E3="Nein",E5="Ja"),"Normal",IF(E6="Ja","Hoch",IF(E7="Ja","Sehr hoch")))))))))))</f>
        <v>Hoch</v>
      </c>
      <c r="H3" s="9" t="s">
        <v>69</v>
      </c>
    </row>
    <row r="4" spans="2:8" x14ac:dyDescent="0.25">
      <c r="B4" s="15"/>
      <c r="D4" s="18" t="s">
        <v>70</v>
      </c>
      <c r="F4" s="9"/>
      <c r="G4" s="17"/>
      <c r="H4" s="9"/>
    </row>
    <row r="5" spans="2:8" x14ac:dyDescent="0.25">
      <c r="B5" s="15"/>
      <c r="D5" s="9" t="s">
        <v>71</v>
      </c>
      <c r="E5" s="16" t="s">
        <v>72</v>
      </c>
      <c r="F5" s="9"/>
      <c r="G5" s="17"/>
      <c r="H5" s="9"/>
    </row>
    <row r="6" spans="2:8" x14ac:dyDescent="0.25">
      <c r="B6" s="15"/>
      <c r="D6" s="9" t="s">
        <v>73</v>
      </c>
      <c r="E6" s="16" t="s">
        <v>68</v>
      </c>
      <c r="F6" s="9"/>
      <c r="G6" s="17"/>
      <c r="H6" s="9"/>
    </row>
    <row r="7" spans="2:8" x14ac:dyDescent="0.25">
      <c r="B7" s="15"/>
      <c r="D7" s="9" t="s">
        <v>74</v>
      </c>
      <c r="E7" s="16" t="s">
        <v>72</v>
      </c>
      <c r="F7" s="9"/>
      <c r="G7" s="17"/>
      <c r="H7" s="9"/>
    </row>
    <row r="9" spans="2:8" x14ac:dyDescent="0.25">
      <c r="B9" s="15" t="s">
        <v>75</v>
      </c>
      <c r="D9" s="15" t="s">
        <v>76</v>
      </c>
      <c r="E9" s="16" t="s">
        <v>68</v>
      </c>
      <c r="F9" s="9"/>
      <c r="G9" s="17" t="str">
        <f>IF(AND(E11="Ja",E12="Ja",E13="Ja"),"Eingabe prüfen!",IF(AND(E11="Ja",E12="Ja"),"Eingabe prüfen!",IF(AND(E11="Ja",E13="Ja"),"Eingabe prüfen!",IF(AND(E12="Ja",E13="Ja"),"Eingabe prüfen!",IF(AND(E9="Nein",E11="Ja"),"Eingabe prüfen!",IF(AND(E9="Nein",E12="Ja"),"Eingabe prüfen!",IF(AND(E9="Nein",E13="Ja"),"Eingabe prüfen!",IF(AND(E9="Ja",E11="Nein",E12="Nein",E13="Nein"),"Eingabe prüfen!",IF(OR(E9="Nein",E11="Ja"),"Normal",IF(E12="Ja","Hoch",IF(E13="Ja","Sehr hoch")))))))))))</f>
        <v>Hoch</v>
      </c>
      <c r="H9" s="9" t="s">
        <v>77</v>
      </c>
    </row>
    <row r="10" spans="2:8" x14ac:dyDescent="0.25">
      <c r="B10" s="15"/>
      <c r="D10" s="18" t="s">
        <v>78</v>
      </c>
      <c r="F10" s="9"/>
      <c r="G10" s="17"/>
      <c r="H10" s="9"/>
    </row>
    <row r="11" spans="2:8" x14ac:dyDescent="0.25">
      <c r="B11" s="15"/>
      <c r="D11" s="9" t="s">
        <v>79</v>
      </c>
      <c r="E11" s="16" t="s">
        <v>72</v>
      </c>
      <c r="F11" s="9"/>
      <c r="G11" s="17"/>
      <c r="H11" s="9"/>
    </row>
    <row r="12" spans="2:8" x14ac:dyDescent="0.25">
      <c r="B12" s="15"/>
      <c r="D12" s="9" t="s">
        <v>80</v>
      </c>
      <c r="E12" s="16" t="s">
        <v>68</v>
      </c>
      <c r="F12" s="9"/>
      <c r="G12" s="17"/>
      <c r="H12" s="9"/>
    </row>
    <row r="13" spans="2:8" x14ac:dyDescent="0.25">
      <c r="B13" s="15"/>
      <c r="D13" s="9" t="s">
        <v>81</v>
      </c>
      <c r="E13" s="16" t="s">
        <v>72</v>
      </c>
      <c r="F13" s="9"/>
      <c r="G13" s="17"/>
      <c r="H13" s="9"/>
    </row>
    <row r="15" ht="26" customHeight="1" spans="2:8" x14ac:dyDescent="0.25">
      <c r="B15" s="15" t="s">
        <v>82</v>
      </c>
      <c r="D15" s="18" t="s">
        <v>83</v>
      </c>
      <c r="E15" s="18"/>
      <c r="F15" s="18"/>
      <c r="G15" s="18"/>
      <c r="H15" s="18"/>
    </row>
    <row r="17" spans="2:8" x14ac:dyDescent="0.25">
      <c r="B17" s="15" t="s">
        <v>84</v>
      </c>
      <c r="D17" s="15" t="s">
        <v>85</v>
      </c>
      <c r="E17" s="16" t="s">
        <v>72</v>
      </c>
      <c r="F17" s="9"/>
      <c r="G17" s="17" t="str">
        <f>IF(AND(E19="Ja",E20="Ja",E21="Ja"),"Eingabe prüfen!",IF(AND(E19="Ja",E20="Ja"),"Eingabe prüfen!",IF(AND(E19="Ja",E21="Ja"),"Eingabe prüfen!",IF(AND(E20="Ja",E21="Ja"),"Eingabe prüfen!",IF(AND(E17="Nein",E19="Ja"),"Eingabe prüfen!",IF(AND(E17="Nein",E20="Ja"),"Eingabe prüfen!",IF(AND(E17="Nein",E21="Ja"),"Eingabe prüfen!",IF(AND(E17="Ja",E19="Nein",E20="Nein",E21="Nein"),"Eingabe prüfen!",IF(OR(E17="Nein",E19="Ja"),"Normal",IF(E20="Ja","Hoch",IF(E21="Ja","Sehr hoch")))))))))))</f>
        <v>Normal</v>
      </c>
      <c r="H17" s="9"/>
    </row>
    <row r="18" spans="2:8" x14ac:dyDescent="0.25">
      <c r="B18" s="15"/>
      <c r="D18" s="18" t="s">
        <v>86</v>
      </c>
      <c r="F18" s="9"/>
      <c r="G18" s="17"/>
      <c r="H18" s="9"/>
    </row>
    <row r="19" spans="2:8" x14ac:dyDescent="0.25">
      <c r="B19" s="15"/>
      <c r="D19" s="9" t="s">
        <v>87</v>
      </c>
      <c r="E19" s="16" t="s">
        <v>72</v>
      </c>
      <c r="F19" s="9"/>
      <c r="G19" s="17"/>
      <c r="H19" s="9"/>
    </row>
    <row r="20" spans="2:8" x14ac:dyDescent="0.25">
      <c r="B20" s="15"/>
      <c r="D20" s="9" t="s">
        <v>88</v>
      </c>
      <c r="E20" s="16" t="s">
        <v>72</v>
      </c>
      <c r="F20" s="9"/>
      <c r="G20" s="17"/>
      <c r="H20" s="9"/>
    </row>
    <row r="21" spans="2:8" x14ac:dyDescent="0.25">
      <c r="B21" s="15"/>
      <c r="D21" s="9" t="s">
        <v>89</v>
      </c>
      <c r="E21" s="16" t="s">
        <v>72</v>
      </c>
      <c r="F21" s="9"/>
      <c r="G21" s="17"/>
      <c r="H21" s="9"/>
    </row>
    <row r="23" spans="2:8" x14ac:dyDescent="0.25">
      <c r="B23" s="15" t="s">
        <v>90</v>
      </c>
      <c r="D23" s="15" t="s">
        <v>91</v>
      </c>
      <c r="E23" s="16" t="s">
        <v>72</v>
      </c>
      <c r="F23" s="9"/>
      <c r="G23" s="17" t="str">
        <f>IF(AND(E25="Ja",E26="Ja",E27="Ja"),"Eingabe prüfen!",IF(AND(E25="Ja",E26="Ja"),"Eingabe prüfen!",IF(AND(E25="Ja",E27="Ja"),"Eingabe prüfen!",IF(AND(E26="Ja",E27="Ja"),"Eingabe prüfen!",IF(AND(E23="Nein",E25="Ja"),"Eingabe prüfen!",IF(AND(E23="Nein",E26="Ja"),"Eingabe prüfen!",IF(AND(E23="Nein",E27="Ja"),"Eingabe prüfen!",IF(AND(E23="Ja",E25="Nein",E26="Nein",E27="Nein"),"Eingabe prüfen!",IF(OR(E23="Nein",E25="Ja"),"Normal",IF(E26="Ja","Hoch",IF(E27="Ja","Sehr hoch")))))))))))</f>
        <v>Normal</v>
      </c>
      <c r="H23" s="9"/>
    </row>
    <row r="24" spans="2:8" x14ac:dyDescent="0.25">
      <c r="B24" s="15"/>
      <c r="D24" s="18" t="s">
        <v>70</v>
      </c>
      <c r="F24" s="9"/>
      <c r="G24" s="17"/>
      <c r="H24" s="9"/>
    </row>
    <row r="25" spans="2:8" x14ac:dyDescent="0.25">
      <c r="B25" s="15"/>
      <c r="D25" s="9" t="s">
        <v>92</v>
      </c>
      <c r="E25" s="16" t="s">
        <v>72</v>
      </c>
      <c r="F25" s="9"/>
      <c r="G25" s="17"/>
      <c r="H25" s="9"/>
    </row>
    <row r="26" spans="2:8" x14ac:dyDescent="0.25">
      <c r="B26" s="15"/>
      <c r="D26" s="9" t="s">
        <v>93</v>
      </c>
      <c r="E26" s="16" t="s">
        <v>72</v>
      </c>
      <c r="F26" s="9"/>
      <c r="G26" s="17"/>
      <c r="H26" s="9"/>
    </row>
    <row r="27" spans="2:8" x14ac:dyDescent="0.25">
      <c r="B27" s="15"/>
      <c r="D27" s="9" t="s">
        <v>94</v>
      </c>
      <c r="E27" s="16" t="s">
        <v>72</v>
      </c>
      <c r="F27" s="9"/>
      <c r="G27" s="17"/>
      <c r="H27" s="9"/>
    </row>
    <row r="29" spans="2:8" x14ac:dyDescent="0.25">
      <c r="B29" s="15" t="s">
        <v>95</v>
      </c>
      <c r="D29" s="15" t="s">
        <v>91</v>
      </c>
      <c r="E29" s="16" t="s">
        <v>72</v>
      </c>
      <c r="F29" s="9"/>
      <c r="G29" s="17" t="str">
        <f>IF(AND(E31="Ja",E32="Ja",E33="Ja"),"Eingabe prüfen!",IF(AND(E31="Ja",E32="Ja"),"Eingabe prüfen!",IF(AND(E31="Ja",E33="Ja"),"Eingabe prüfen!",IF(AND(E32="Ja",E33="Ja"),"Eingabe prüfen!",IF(AND(E29="Nein",E31="Ja"),"Eingabe prüfen!",IF(AND(E29="Nein",E32="Ja"),"Eingabe prüfen!",IF(AND(E29="Nein",E33="Ja"),"Eingabe prüfen!",IF(AND(E29="Ja",E31="Nein",E32="Nein",E33="Nein"),"Eingabe prüfen!",IF(OR(E29="Nein",E31="Ja"),"Normal",IF(E32="Ja","Hoch",IF(E33="Ja","Sehr hoch")))))))))))</f>
        <v>Normal</v>
      </c>
      <c r="H29" s="9"/>
    </row>
    <row r="30" spans="2:8" x14ac:dyDescent="0.25">
      <c r="B30" s="15"/>
      <c r="D30" s="18" t="s">
        <v>70</v>
      </c>
      <c r="F30" s="9"/>
      <c r="G30" s="17"/>
      <c r="H30" s="9"/>
    </row>
    <row r="31" spans="2:8" x14ac:dyDescent="0.25">
      <c r="B31" s="15"/>
      <c r="D31" s="9" t="s">
        <v>96</v>
      </c>
      <c r="E31" s="16" t="s">
        <v>72</v>
      </c>
      <c r="F31" s="9"/>
      <c r="G31" s="17"/>
      <c r="H31" s="9"/>
    </row>
    <row r="32" spans="2:8" x14ac:dyDescent="0.25">
      <c r="B32" s="15"/>
      <c r="D32" s="9" t="s">
        <v>97</v>
      </c>
      <c r="E32" s="16" t="s">
        <v>72</v>
      </c>
      <c r="F32" s="9"/>
      <c r="G32" s="17"/>
      <c r="H32" s="9"/>
    </row>
    <row r="33" spans="2:8" x14ac:dyDescent="0.25">
      <c r="B33" s="15"/>
      <c r="D33" s="9" t="s">
        <v>98</v>
      </c>
      <c r="E33" s="16" t="s">
        <v>72</v>
      </c>
      <c r="F33" s="9"/>
      <c r="G33" s="17"/>
      <c r="H33" s="9"/>
    </row>
    <row r="35" spans="2:6" x14ac:dyDescent="0.25">
      <c r="B35" s="15" t="s">
        <v>99</v>
      </c>
      <c r="D35" s="18" t="s">
        <v>100</v>
      </c>
      <c r="E35" s="19"/>
      <c r="F35" s="9"/>
    </row>
    <row r="37" ht="20" customHeight="1" spans="2:7" x14ac:dyDescent="0.25">
      <c r="B37" s="12" t="s">
        <v>101</v>
      </c>
      <c r="C37" s="12"/>
      <c r="D37" s="12"/>
      <c r="E37" s="13" t="str">
        <f>IF(Hilfstabelle!D10=6,"Normal", IF(Hilfstabelle!D10&gt;=1000,"Sehr hoch",IF(Hilfstabelle!D10&gt;=10,"Hoch","Bitte Spalte E ausfüllen")))</f>
        <v>Normal</v>
      </c>
      <c r="F37" s="13"/>
      <c r="G37" s="13"/>
    </row>
    <row r="38" spans="2:8" x14ac:dyDescent="0.25">
      <c r="B38" s="14" t="s">
        <v>60</v>
      </c>
      <c r="D38" s="14" t="s">
        <v>61</v>
      </c>
      <c r="E38" s="14" t="s">
        <v>62</v>
      </c>
      <c r="F38" s="14" t="s">
        <v>63</v>
      </c>
      <c r="G38" s="14" t="s">
        <v>64</v>
      </c>
      <c r="H38" s="14" t="s">
        <v>65</v>
      </c>
    </row>
    <row r="39" spans="2:8" x14ac:dyDescent="0.25">
      <c r="B39" s="15" t="s">
        <v>66</v>
      </c>
      <c r="D39" s="15" t="s">
        <v>102</v>
      </c>
      <c r="E39" s="16" t="s">
        <v>72</v>
      </c>
      <c r="F39" s="9"/>
      <c r="G39" s="17" t="str">
        <f>IF(AND(E41="Ja",E42="Ja",E43="Ja"),"Eingabe prüfen!",IF(AND(E41="Ja",E42="Ja"),"Eingabe prüfen!",IF(AND(E41="Ja",E43="Ja"),"Eingabe prüfen!",IF(AND(E42="Ja",E43="Ja"),"Eingabe prüfen!",IF(AND(E39="Nein",E41="Ja"),"Eingabe prüfen!",IF(AND(E39="Nein",E42="Ja"),"Eingabe prüfen!",IF(AND(E39="Nein",E43="Ja"),"Eingabe prüfen!",IF(AND(E39="Ja",E41="Nein",E42="Nein",E43="Nein"),"Eingabe prüfen!",IF(OR(E39="Nein",E41="Ja"),"Normal",IF(E42="Ja","Hoch",IF(E43="Ja","Sehr hoch")))))))))))</f>
        <v>Normal</v>
      </c>
      <c r="H39" s="9"/>
    </row>
    <row r="40" spans="2:8" x14ac:dyDescent="0.25">
      <c r="B40" s="15"/>
      <c r="D40" s="18" t="s">
        <v>103</v>
      </c>
      <c r="F40" s="9"/>
      <c r="G40" s="17"/>
      <c r="H40" s="9"/>
    </row>
    <row r="41" spans="2:8" x14ac:dyDescent="0.25">
      <c r="B41" s="15"/>
      <c r="D41" s="9" t="s">
        <v>71</v>
      </c>
      <c r="E41" s="16" t="s">
        <v>72</v>
      </c>
      <c r="F41" s="9"/>
      <c r="G41" s="17"/>
      <c r="H41" s="9"/>
    </row>
    <row r="42" spans="2:8" x14ac:dyDescent="0.25">
      <c r="B42" s="15"/>
      <c r="D42" s="9" t="s">
        <v>73</v>
      </c>
      <c r="E42" s="16" t="s">
        <v>72</v>
      </c>
      <c r="F42" s="9"/>
      <c r="G42" s="17"/>
      <c r="H42" s="9"/>
    </row>
    <row r="43" spans="2:8" x14ac:dyDescent="0.25">
      <c r="B43" s="15"/>
      <c r="D43" s="9" t="s">
        <v>74</v>
      </c>
      <c r="E43" s="16" t="s">
        <v>72</v>
      </c>
      <c r="F43" s="9"/>
      <c r="G43" s="17"/>
      <c r="H43" s="9"/>
    </row>
    <row r="45" spans="2:8" x14ac:dyDescent="0.25">
      <c r="B45" s="15" t="s">
        <v>75</v>
      </c>
      <c r="D45" s="15" t="s">
        <v>76</v>
      </c>
      <c r="E45" s="16" t="s">
        <v>68</v>
      </c>
      <c r="F45" s="9"/>
      <c r="G45" s="17" t="str">
        <f>IF(AND(E47="Ja",E48="Ja",E49="Ja"),"Eingabe prüfen!",IF(AND(E47="Ja",E48="Ja"),"Eingabe prüfen!",IF(AND(E47="Ja",E49="Ja"),"Eingabe prüfen!",IF(AND(E48="Ja",E49="Ja"),"Eingabe prüfen!",IF(AND(E45="Nein",E47="Ja"),"Eingabe prüfen!",IF(AND(E45="Nein",E48="Ja"),"Eingabe prüfen!",IF(AND(E45="Nein",E49="Ja"),"Eingabe prüfen!",IF(AND(E45="Ja",E47="Nein",E48="Nein",E49="Nein"),"Eingabe prüfen!",IF(OR(E45="Nein",E47="Ja"),"Normal",IF(E48="Ja","Hoch",IF(E49="Ja","Sehr hoch")))))))))))</f>
        <v>Normal</v>
      </c>
      <c r="H45" s="9"/>
    </row>
    <row r="46" spans="2:8" x14ac:dyDescent="0.25">
      <c r="B46" s="15"/>
      <c r="D46" s="18" t="s">
        <v>104</v>
      </c>
      <c r="F46" s="9"/>
      <c r="G46" s="17"/>
      <c r="H46" s="9"/>
    </row>
    <row r="47" spans="2:8" x14ac:dyDescent="0.25">
      <c r="B47" s="15"/>
      <c r="D47" s="9" t="s">
        <v>79</v>
      </c>
      <c r="E47" s="16" t="s">
        <v>68</v>
      </c>
      <c r="F47" s="9"/>
      <c r="G47" s="17"/>
      <c r="H47" s="9"/>
    </row>
    <row r="48" spans="2:8" x14ac:dyDescent="0.25">
      <c r="B48" s="15"/>
      <c r="D48" s="9" t="s">
        <v>80</v>
      </c>
      <c r="E48" s="16" t="s">
        <v>72</v>
      </c>
      <c r="F48" s="9"/>
      <c r="G48" s="17"/>
      <c r="H48" s="9"/>
    </row>
    <row r="49" spans="2:8" x14ac:dyDescent="0.25">
      <c r="B49" s="15"/>
      <c r="D49" s="9" t="s">
        <v>81</v>
      </c>
      <c r="E49" s="16" t="s">
        <v>72</v>
      </c>
      <c r="F49" s="9"/>
      <c r="G49" s="17"/>
      <c r="H49" s="9"/>
    </row>
    <row r="51" spans="2:8" x14ac:dyDescent="0.25">
      <c r="B51" s="15" t="s">
        <v>82</v>
      </c>
      <c r="D51" s="15" t="s">
        <v>105</v>
      </c>
      <c r="E51" s="16" t="s">
        <v>72</v>
      </c>
      <c r="F51" s="9"/>
      <c r="G51" s="17" t="str">
        <f>IF(AND(E51="Nein",E52="Ja"),"Eingabe prüfen!",IF(E51="Nein","Normal",IF(AND(E51="Ja",E52="Nein"),"Hoch",IF(AND(E51="Ja",E52="Ja"),"Sehr hoch"))))</f>
        <v>Normal</v>
      </c>
      <c r="H51" s="9"/>
    </row>
    <row r="52" spans="2:8" x14ac:dyDescent="0.25">
      <c r="B52" s="15"/>
      <c r="D52" s="18" t="s">
        <v>106</v>
      </c>
      <c r="E52" s="16"/>
      <c r="F52" s="9"/>
      <c r="G52" s="17"/>
      <c r="H52" s="9"/>
    </row>
    <row r="54" spans="2:8" x14ac:dyDescent="0.25">
      <c r="B54" s="15" t="s">
        <v>84</v>
      </c>
      <c r="D54" s="15" t="s">
        <v>107</v>
      </c>
      <c r="E54" s="16" t="s">
        <v>72</v>
      </c>
      <c r="F54" s="9"/>
      <c r="G54" s="17" t="str">
        <f>IF(AND(E56="Ja",E57="Ja",E58="Ja"),"Eingabe prüfen!",IF(AND(E56="Ja",E57="Ja"),"Eingabe prüfen!",IF(AND(E56="Ja",E58="Ja"),"Eingabe prüfen!",IF(AND(E57="Ja",E58="Ja"),"Eingabe prüfen!",IF(AND(E54="Nein",E56="Ja"),"Eingabe prüfen!",IF(AND(E54="Nein",E57="Ja"),"Eingabe prüfen!",IF(AND(E54="Nein",E58="Ja"),"Eingabe prüfen!",IF(AND(E54="Ja",E56="Nein",E57="Nein",E58="Nein"),"Eingabe prüfen!",IF(OR(E54="Nein",E56="Ja"),"Normal",IF(E57="Ja","Hoch",IF(E58="Ja","Sehr hoch")))))))))))</f>
        <v>Normal</v>
      </c>
      <c r="H54" s="9"/>
    </row>
    <row r="55" spans="2:8" x14ac:dyDescent="0.25">
      <c r="B55" s="15"/>
      <c r="D55" s="18" t="s">
        <v>108</v>
      </c>
      <c r="F55" s="9"/>
      <c r="G55" s="17"/>
      <c r="H55" s="9"/>
    </row>
    <row r="56" spans="2:8" x14ac:dyDescent="0.25">
      <c r="B56" s="15"/>
      <c r="D56" s="9" t="s">
        <v>109</v>
      </c>
      <c r="E56" s="16" t="s">
        <v>72</v>
      </c>
      <c r="F56" s="9"/>
      <c r="G56" s="17"/>
      <c r="H56" s="9"/>
    </row>
    <row r="57" spans="2:8" x14ac:dyDescent="0.25">
      <c r="B57" s="15"/>
      <c r="D57" s="9" t="s">
        <v>88</v>
      </c>
      <c r="E57" s="16" t="s">
        <v>72</v>
      </c>
      <c r="F57" s="9"/>
      <c r="G57" s="17"/>
      <c r="H57" s="9"/>
    </row>
    <row r="58" spans="2:8" x14ac:dyDescent="0.25">
      <c r="B58" s="15"/>
      <c r="D58" s="9" t="s">
        <v>89</v>
      </c>
      <c r="E58" s="16" t="s">
        <v>72</v>
      </c>
      <c r="F58" s="9"/>
      <c r="G58" s="17"/>
      <c r="H58" s="9"/>
    </row>
    <row r="60" spans="2:8" x14ac:dyDescent="0.25">
      <c r="B60" s="15" t="s">
        <v>90</v>
      </c>
      <c r="D60" s="15" t="s">
        <v>91</v>
      </c>
      <c r="E60" s="16" t="s">
        <v>72</v>
      </c>
      <c r="F60" s="9"/>
      <c r="G60" s="17" t="str">
        <f>IF(AND(E62="Ja",E63="Ja",E64="Ja"),"Eingabe prüfen!",IF(AND(E62="Ja",E63="Ja"),"Eingabe prüfen!",IF(AND(E62="Ja",E64="Ja"),"Eingabe prüfen!",IF(AND(E63="Ja",E64="Ja"),"Eingabe prüfen!",IF(AND(E60="Nein",E62="Ja"),"Eingabe prüfen!",IF(AND(E60="Nein",E63="Ja"),"Eingabe prüfen!",IF(AND(E60="Nein",E64="Ja"),"Eingabe prüfen!",IF(AND(E60="Ja",E62="Nein",E63="Nein",E64="Nein"),"Eingabe prüfen!",IF(OR(E60="Nein",E62="Ja"),"Normal",IF(E63="Ja","Hoch",IF(E64="Ja","Sehr hoch")))))))))))</f>
        <v>Normal</v>
      </c>
      <c r="H60" s="9"/>
    </row>
    <row r="61" spans="2:8" x14ac:dyDescent="0.25">
      <c r="B61" s="15"/>
      <c r="D61" s="18" t="s">
        <v>103</v>
      </c>
      <c r="F61" s="9"/>
      <c r="G61" s="17"/>
      <c r="H61" s="9"/>
    </row>
    <row r="62" spans="2:8" x14ac:dyDescent="0.25">
      <c r="B62" s="15"/>
      <c r="D62" s="9" t="s">
        <v>92</v>
      </c>
      <c r="E62" s="16" t="s">
        <v>72</v>
      </c>
      <c r="F62" s="9"/>
      <c r="G62" s="17"/>
      <c r="H62" s="9"/>
    </row>
    <row r="63" spans="2:8" x14ac:dyDescent="0.25">
      <c r="B63" s="15"/>
      <c r="D63" s="9" t="s">
        <v>93</v>
      </c>
      <c r="E63" s="16" t="s">
        <v>72</v>
      </c>
      <c r="F63" s="9"/>
      <c r="G63" s="17"/>
      <c r="H63" s="9"/>
    </row>
    <row r="64" spans="2:8" x14ac:dyDescent="0.25">
      <c r="B64" s="15"/>
      <c r="D64" s="9" t="s">
        <v>94</v>
      </c>
      <c r="E64" s="16" t="s">
        <v>72</v>
      </c>
      <c r="F64" s="9"/>
      <c r="G64" s="17"/>
      <c r="H64" s="9"/>
    </row>
    <row r="66" spans="2:8" x14ac:dyDescent="0.25">
      <c r="B66" s="15" t="s">
        <v>95</v>
      </c>
      <c r="D66" s="15" t="s">
        <v>91</v>
      </c>
      <c r="E66" s="16" t="s">
        <v>72</v>
      </c>
      <c r="F66" s="9"/>
      <c r="G66" s="17" t="str">
        <f>IF(AND(E68="Ja",E69="Ja",E70="Ja"),"Eingabe prüfen!",IF(AND(E68="Ja",E69="Ja"),"Eingabe prüfen!",IF(AND(E68="Ja",E70="Ja"),"Eingabe prüfen!",IF(AND(E69="Ja",E70="Ja"),"Eingabe prüfen!",IF(AND(E66="Nein",E68="Ja"),"Eingabe prüfen!",IF(AND(E66="Nein",E69="Ja"),"Eingabe prüfen!",IF(AND(E66="Nein",E70="Ja"),"Eingabe prüfen!",IF(AND(E66="Ja",E68="Nein",E69="Nein",E70="Nein"),"Eingabe prüfen!",IF(OR(E66="Nein",E68="Ja"),"Normal",IF(E69="Ja","Hoch",IF(E70="Ja","Sehr hoch")))))))))))</f>
        <v>Normal</v>
      </c>
      <c r="H66" s="9"/>
    </row>
    <row r="67" spans="2:8" x14ac:dyDescent="0.25">
      <c r="B67" s="15"/>
      <c r="D67" s="18" t="s">
        <v>103</v>
      </c>
      <c r="F67" s="9"/>
      <c r="G67" s="17"/>
      <c r="H67" s="9"/>
    </row>
    <row r="68" spans="2:8" x14ac:dyDescent="0.25">
      <c r="B68" s="15"/>
      <c r="D68" s="9" t="s">
        <v>96</v>
      </c>
      <c r="E68" s="16" t="s">
        <v>72</v>
      </c>
      <c r="F68" s="9"/>
      <c r="G68" s="17"/>
      <c r="H68" s="9"/>
    </row>
    <row r="69" spans="2:8" x14ac:dyDescent="0.25">
      <c r="B69" s="15"/>
      <c r="D69" s="9" t="s">
        <v>97</v>
      </c>
      <c r="E69" s="16" t="s">
        <v>72</v>
      </c>
      <c r="F69" s="9"/>
      <c r="G69" s="17"/>
      <c r="H69" s="9"/>
    </row>
    <row r="70" spans="2:8" x14ac:dyDescent="0.25">
      <c r="B70" s="15"/>
      <c r="D70" s="9" t="s">
        <v>98</v>
      </c>
      <c r="E70" s="16" t="s">
        <v>72</v>
      </c>
      <c r="F70" s="9"/>
      <c r="G70" s="17"/>
      <c r="H70" s="9"/>
    </row>
    <row r="72" spans="2:6" x14ac:dyDescent="0.25">
      <c r="B72" s="15" t="s">
        <v>99</v>
      </c>
      <c r="D72" s="18" t="s">
        <v>100</v>
      </c>
      <c r="E72" s="19"/>
      <c r="F72" s="9"/>
    </row>
    <row r="74" ht="20" customHeight="1" spans="2:7" x14ac:dyDescent="0.25">
      <c r="B74" s="12" t="s">
        <v>110</v>
      </c>
      <c r="C74" s="12"/>
      <c r="D74" s="12"/>
      <c r="E74" s="13" t="str">
        <f>IF(Hilfstabelle!F10=6,"Normal", IF(Hilfstabelle!F10&gt;=1000,"Sehr hoch",IF(Hilfstabelle!F10&gt;=10,"Hoch","Bitte Spalte E ausfüllen")))</f>
        <v>Sehr hoch</v>
      </c>
      <c r="F74" s="13"/>
      <c r="G74" s="13"/>
    </row>
    <row r="75" spans="2:8" x14ac:dyDescent="0.25">
      <c r="B75" s="14" t="s">
        <v>60</v>
      </c>
      <c r="D75" s="14" t="s">
        <v>61</v>
      </c>
      <c r="E75" s="14" t="s">
        <v>62</v>
      </c>
      <c r="F75" s="14" t="s">
        <v>63</v>
      </c>
      <c r="G75" s="14" t="s">
        <v>64</v>
      </c>
      <c r="H75" s="14" t="s">
        <v>65</v>
      </c>
    </row>
    <row r="76" spans="2:8" x14ac:dyDescent="0.25">
      <c r="B76" s="15" t="s">
        <v>66</v>
      </c>
      <c r="D76" s="15" t="s">
        <v>111</v>
      </c>
      <c r="E76" s="16" t="s">
        <v>72</v>
      </c>
      <c r="F76" s="9"/>
      <c r="G76" s="17" t="str">
        <f>IF(AND(E78="Ja",E79="Ja",E80="Ja"),"Eingabe prüfen!",IF(AND(E78="Ja",E79="Ja"),"Eingabe prüfen!",IF(AND(E78="Ja",E80="Ja"),"Eingabe prüfen!",IF(AND(E79="Ja",E80="Ja"),"Eingabe prüfen!",IF(AND(E76="Nein",E78="Ja"),"Eingabe prüfen!",IF(AND(E76="Nein",E79="Ja"),"Eingabe prüfen!",IF(AND(E76="Nein",E80="Ja"),"Eingabe prüfen!",IF(AND(E76="Ja",E78="Nein",E79="Nein",E80="Nein"),"Eingabe prüfen!",IF(OR(E76="Nein",E78="Ja"),"Normal",IF(E79="Ja","Hoch",IF(E80="Ja","Sehr hoch")))))))))))</f>
        <v>Normal</v>
      </c>
      <c r="H76" s="9"/>
    </row>
    <row r="77" spans="2:8" x14ac:dyDescent="0.25">
      <c r="B77" s="15"/>
      <c r="D77" s="18" t="s">
        <v>112</v>
      </c>
      <c r="F77" s="9"/>
      <c r="G77" s="17"/>
      <c r="H77" s="9"/>
    </row>
    <row r="78" spans="2:8" x14ac:dyDescent="0.25">
      <c r="B78" s="15"/>
      <c r="D78" s="9" t="s">
        <v>71</v>
      </c>
      <c r="E78" s="16" t="s">
        <v>72</v>
      </c>
      <c r="F78" s="9"/>
      <c r="G78" s="17"/>
      <c r="H78" s="9"/>
    </row>
    <row r="79" spans="2:8" x14ac:dyDescent="0.25">
      <c r="B79" s="15"/>
      <c r="D79" s="9" t="s">
        <v>73</v>
      </c>
      <c r="E79" s="16" t="s">
        <v>72</v>
      </c>
      <c r="F79" s="9"/>
      <c r="G79" s="17"/>
      <c r="H79" s="9"/>
    </row>
    <row r="80" spans="2:8" x14ac:dyDescent="0.25">
      <c r="B80" s="15"/>
      <c r="D80" s="9" t="s">
        <v>74</v>
      </c>
      <c r="E80" s="16" t="s">
        <v>72</v>
      </c>
      <c r="F80" s="9"/>
      <c r="G80" s="17"/>
      <c r="H80" s="9"/>
    </row>
    <row r="82" spans="2:8" x14ac:dyDescent="0.25">
      <c r="B82" s="15" t="s">
        <v>75</v>
      </c>
      <c r="D82" s="15" t="s">
        <v>76</v>
      </c>
      <c r="E82" s="16" t="s">
        <v>68</v>
      </c>
      <c r="F82" s="9"/>
      <c r="G82" s="17" t="str">
        <f>IF(AND(E84="Ja",E85="Ja",E86="Ja"),"Eingabe prüfen!",IF(AND(E84="Ja",E85="Ja"),"Eingabe prüfen!",IF(AND(E84="Ja",E86="Ja"),"Eingabe prüfen!",IF(AND(E85="Ja",E86="Ja"),"Eingabe prüfen!",IF(AND(E82="Nein",E84="Ja"),"Eingabe prüfen!",IF(AND(E82="Nein",E85="Ja"),"Eingabe prüfen!",IF(AND(E82="Nein",E86="Ja"),"Eingabe prüfen!",IF(AND(E82="Ja",E84="Nein",E85="Nein",E86="Nein"),"Eingabe prüfen!",IF(OR(E82="Nein",E84="Ja"),"Normal",IF(E85="Ja","Hoch",IF(E86="Ja","Sehr hoch")))))))))))</f>
        <v>Normal</v>
      </c>
      <c r="H82" s="9"/>
    </row>
    <row r="83" spans="2:8" x14ac:dyDescent="0.25">
      <c r="B83" s="15"/>
      <c r="D83" s="18" t="s">
        <v>113</v>
      </c>
      <c r="F83" s="9"/>
      <c r="G83" s="17"/>
      <c r="H83" s="9"/>
    </row>
    <row r="84" spans="2:8" x14ac:dyDescent="0.25">
      <c r="B84" s="15"/>
      <c r="D84" s="9" t="s">
        <v>114</v>
      </c>
      <c r="E84" s="16" t="s">
        <v>68</v>
      </c>
      <c r="F84" s="9"/>
      <c r="G84" s="17"/>
      <c r="H84" s="9"/>
    </row>
    <row r="85" spans="2:8" x14ac:dyDescent="0.25">
      <c r="B85" s="15"/>
      <c r="D85" s="9" t="s">
        <v>80</v>
      </c>
      <c r="E85" s="16" t="s">
        <v>72</v>
      </c>
      <c r="F85" s="9"/>
      <c r="G85" s="17"/>
      <c r="H85" s="9"/>
    </row>
    <row r="86" spans="2:8" x14ac:dyDescent="0.25">
      <c r="B86" s="15"/>
      <c r="D86" s="9" t="s">
        <v>81</v>
      </c>
      <c r="E86" s="16" t="s">
        <v>72</v>
      </c>
      <c r="F86" s="9"/>
      <c r="G86" s="17"/>
      <c r="H86" s="9"/>
    </row>
    <row r="88" spans="2:8" x14ac:dyDescent="0.25">
      <c r="B88" s="15" t="s">
        <v>82</v>
      </c>
      <c r="D88" s="15" t="s">
        <v>115</v>
      </c>
      <c r="E88" s="16" t="s">
        <v>72</v>
      </c>
      <c r="F88" s="9"/>
      <c r="G88" s="17" t="str">
        <f>IF(AND(E88="Nein",E89="Ja"),"Eingabe prüfen!",IF(E88="Nein","Normal",IF(AND(E88="Ja",E89="Nein"),"Hoch",IF(AND(E88="Ja",E89="Ja"),"Sehr hoch"))))</f>
        <v>Normal</v>
      </c>
      <c r="H88" s="9"/>
    </row>
    <row r="89" spans="2:8" x14ac:dyDescent="0.25">
      <c r="B89" s="15"/>
      <c r="D89" s="18" t="s">
        <v>116</v>
      </c>
      <c r="E89" s="16"/>
      <c r="F89" s="9"/>
      <c r="G89" s="17"/>
      <c r="H89" s="9"/>
    </row>
    <row r="91" spans="2:8" x14ac:dyDescent="0.25">
      <c r="B91" s="15" t="s">
        <v>84</v>
      </c>
      <c r="D91" s="15" t="s">
        <v>117</v>
      </c>
      <c r="E91" s="16" t="s">
        <v>68</v>
      </c>
      <c r="F91" s="9"/>
      <c r="G91" s="17" t="str">
        <f>IF(AND(E93="Ja",E94="Ja",E95="Ja"),"Eingabe prüfen!",IF(AND(E93="Ja",E94="Ja"),"Eingabe prüfen!",IF(AND(E93="Ja",E95="Ja"),"Eingabe prüfen!",IF(AND(E94="Ja",E95="Ja"),"Eingabe prüfen!",IF(AND(E91="Nein",E93="Ja"),"Eingabe prüfen!",IF(AND(E91="Nein",E94="Ja"),"Eingabe prüfen!",IF(AND(E91="Nein",E95="Ja"),"Eingabe prüfen!",IF(AND(E91="Ja",E93="Nein",E94="Nein",E95="Nein"),"Eingabe prüfen!",IF(OR(E91="Nein",E93="Ja"),"Normal",IF(E94="Ja","Hoch",IF(E95="Ja","Sehr hoch")))))))))))</f>
        <v>Sehr hoch</v>
      </c>
      <c r="H91" s="9" t="s">
        <v>118</v>
      </c>
    </row>
    <row r="92" spans="2:8" x14ac:dyDescent="0.25">
      <c r="B92" s="15"/>
      <c r="D92" s="18" t="s">
        <v>119</v>
      </c>
      <c r="F92" s="9"/>
      <c r="G92" s="17"/>
      <c r="H92" s="9"/>
    </row>
    <row r="93" spans="2:8" x14ac:dyDescent="0.25">
      <c r="B93" s="15"/>
      <c r="D93" s="9" t="s">
        <v>120</v>
      </c>
      <c r="E93" s="16" t="s">
        <v>72</v>
      </c>
      <c r="F93" s="9"/>
      <c r="G93" s="17"/>
      <c r="H93" s="9"/>
    </row>
    <row r="94" spans="2:8" x14ac:dyDescent="0.25">
      <c r="B94" s="15"/>
      <c r="D94" s="9" t="s">
        <v>121</v>
      </c>
      <c r="E94" s="16" t="s">
        <v>72</v>
      </c>
      <c r="F94" s="9"/>
      <c r="G94" s="17"/>
      <c r="H94" s="9"/>
    </row>
    <row r="95" spans="2:8" x14ac:dyDescent="0.25">
      <c r="B95" s="15"/>
      <c r="D95" s="9" t="s">
        <v>122</v>
      </c>
      <c r="E95" s="16" t="s">
        <v>68</v>
      </c>
      <c r="F95" s="9"/>
      <c r="G95" s="17"/>
      <c r="H95" s="9"/>
    </row>
    <row r="97" spans="2:8" x14ac:dyDescent="0.25">
      <c r="B97" s="15" t="s">
        <v>90</v>
      </c>
      <c r="D97" s="15" t="s">
        <v>91</v>
      </c>
      <c r="E97" s="16" t="s">
        <v>72</v>
      </c>
      <c r="F97" s="9"/>
      <c r="G97" s="17" t="str">
        <f>IF(AND(E99="Ja",E100="Ja",E101="Ja"),"Eingabe prüfen!",IF(AND(E99="Ja",E100="Ja"),"Eingabe prüfen!",IF(AND(E99="Ja",E101="Ja"),"Eingabe prüfen!",IF(AND(E100="Ja",E101="Ja"),"Eingabe prüfen!",IF(AND(E97="Nein",E99="Ja"),"Eingabe prüfen!",IF(AND(E97="Nein",E100="Ja"),"Eingabe prüfen!",IF(AND(E97="Nein",E101="Ja"),"Eingabe prüfen!",IF(AND(E97="Ja",E99="Nein",E100="Nein",E101="Nein"),"Eingabe prüfen!",IF(OR(E97="Nein",E99="Ja"),"Normal",IF(E100="Ja","Hoch",IF(E101="Ja","Sehr hoch")))))))))))</f>
        <v>Normal</v>
      </c>
      <c r="H97" s="9"/>
    </row>
    <row r="98" spans="2:8" x14ac:dyDescent="0.25">
      <c r="B98" s="15"/>
      <c r="D98" s="18" t="s">
        <v>112</v>
      </c>
      <c r="F98" s="9"/>
      <c r="G98" s="17"/>
      <c r="H98" s="9"/>
    </row>
    <row r="99" spans="2:8" x14ac:dyDescent="0.25">
      <c r="B99" s="15"/>
      <c r="D99" s="9" t="s">
        <v>92</v>
      </c>
      <c r="E99" s="16" t="s">
        <v>72</v>
      </c>
      <c r="F99" s="9"/>
      <c r="G99" s="17"/>
      <c r="H99" s="9"/>
    </row>
    <row r="100" spans="2:8" x14ac:dyDescent="0.25">
      <c r="B100" s="15"/>
      <c r="D100" s="9" t="s">
        <v>93</v>
      </c>
      <c r="E100" s="16" t="s">
        <v>72</v>
      </c>
      <c r="F100" s="9"/>
      <c r="G100" s="17"/>
      <c r="H100" s="9"/>
    </row>
    <row r="101" spans="2:8" x14ac:dyDescent="0.25">
      <c r="B101" s="15"/>
      <c r="D101" s="9" t="s">
        <v>94</v>
      </c>
      <c r="E101" s="16" t="s">
        <v>72</v>
      </c>
      <c r="F101" s="9"/>
      <c r="G101" s="17"/>
      <c r="H101" s="9"/>
    </row>
    <row r="103" spans="2:8" x14ac:dyDescent="0.25">
      <c r="B103" s="15" t="s">
        <v>95</v>
      </c>
      <c r="D103" s="15" t="s">
        <v>91</v>
      </c>
      <c r="E103" s="16" t="s">
        <v>72</v>
      </c>
      <c r="F103" s="9"/>
      <c r="G103" s="17" t="str">
        <f>IF(AND(E105="Ja",E106="Ja",E107="Ja"),"Eingabe prüfen!",IF(AND(E105="Ja",E106="Ja"),"Eingabe prüfen!",IF(AND(E105="Ja",E107="Ja"),"Eingabe prüfen!",IF(AND(E106="Ja",E107="Ja"),"Eingabe prüfen!",IF(AND(E103="Nein",E105="Ja"),"Eingabe prüfen!",IF(AND(E103="Nein",E106="Ja"),"Eingabe prüfen!",IF(AND(E103="Nein",E107="Ja"),"Eingabe prüfen!",IF(AND(E103="Ja",E105="Nein",E106="Nein",E107="Nein"),"Eingabe prüfen!",IF(OR(E103="Nein",E105="Ja"),"Normal",IF(E106="Ja","Hoch",IF(E107="Ja","Sehr hoch")))))))))))</f>
        <v>Normal</v>
      </c>
      <c r="H103" s="9"/>
    </row>
    <row r="104" spans="2:8" x14ac:dyDescent="0.25">
      <c r="B104" s="15"/>
      <c r="D104" s="18" t="s">
        <v>112</v>
      </c>
      <c r="F104" s="9"/>
      <c r="G104" s="17"/>
      <c r="H104" s="9"/>
    </row>
    <row r="105" spans="2:8" x14ac:dyDescent="0.25">
      <c r="B105" s="15"/>
      <c r="D105" s="9" t="s">
        <v>96</v>
      </c>
      <c r="E105" s="16" t="s">
        <v>72</v>
      </c>
      <c r="F105" s="9"/>
      <c r="G105" s="17"/>
      <c r="H105" s="9"/>
    </row>
    <row r="106" spans="2:8" x14ac:dyDescent="0.25">
      <c r="B106" s="15"/>
      <c r="D106" s="9" t="s">
        <v>97</v>
      </c>
      <c r="E106" s="16" t="s">
        <v>72</v>
      </c>
      <c r="F106" s="9"/>
      <c r="G106" s="17"/>
      <c r="H106" s="9"/>
    </row>
    <row r="107" spans="2:8" x14ac:dyDescent="0.25">
      <c r="B107" s="15"/>
      <c r="D107" s="9" t="s">
        <v>98</v>
      </c>
      <c r="E107" s="16" t="s">
        <v>72</v>
      </c>
      <c r="F107" s="9"/>
      <c r="G107" s="17"/>
      <c r="H107" s="9"/>
    </row>
    <row r="109" spans="2:6" x14ac:dyDescent="0.25">
      <c r="B109" s="15" t="s">
        <v>99</v>
      </c>
      <c r="D109" s="18" t="s">
        <v>100</v>
      </c>
      <c r="E109" s="19"/>
      <c r="F109" s="9"/>
    </row>
  </sheetData>
  <mergeCells count="75">
    <mergeCell ref="B1:D1"/>
    <mergeCell ref="E1:G1"/>
    <mergeCell ref="B3:B7"/>
    <mergeCell ref="F3:F7"/>
    <mergeCell ref="G3:G7"/>
    <mergeCell ref="H3:H7"/>
    <mergeCell ref="B9:B13"/>
    <mergeCell ref="F9:F13"/>
    <mergeCell ref="G9:G13"/>
    <mergeCell ref="H9:H13"/>
    <mergeCell ref="D15:H15"/>
    <mergeCell ref="B17:B21"/>
    <mergeCell ref="F17:F21"/>
    <mergeCell ref="G17:G21"/>
    <mergeCell ref="H17:H21"/>
    <mergeCell ref="B23:B27"/>
    <mergeCell ref="F23:F27"/>
    <mergeCell ref="G23:G27"/>
    <mergeCell ref="H23:H27"/>
    <mergeCell ref="B29:B33"/>
    <mergeCell ref="F29:F33"/>
    <mergeCell ref="G29:G33"/>
    <mergeCell ref="H29:H33"/>
    <mergeCell ref="B37:D37"/>
    <mergeCell ref="E37:G37"/>
    <mergeCell ref="B39:B43"/>
    <mergeCell ref="F39:F43"/>
    <mergeCell ref="G39:G43"/>
    <mergeCell ref="H39:H43"/>
    <mergeCell ref="B45:B49"/>
    <mergeCell ref="F45:F49"/>
    <mergeCell ref="G45:G49"/>
    <mergeCell ref="H45:H49"/>
    <mergeCell ref="B51:B52"/>
    <mergeCell ref="F51:F52"/>
    <mergeCell ref="G51:G52"/>
    <mergeCell ref="H51:H52"/>
    <mergeCell ref="B54:B58"/>
    <mergeCell ref="F54:F58"/>
    <mergeCell ref="G54:G58"/>
    <mergeCell ref="H54:H58"/>
    <mergeCell ref="B60:B64"/>
    <mergeCell ref="F60:F64"/>
    <mergeCell ref="G60:G64"/>
    <mergeCell ref="H60:H64"/>
    <mergeCell ref="B66:B70"/>
    <mergeCell ref="F66:F70"/>
    <mergeCell ref="G66:G70"/>
    <mergeCell ref="H66:H70"/>
    <mergeCell ref="B74:D74"/>
    <mergeCell ref="E74:G74"/>
    <mergeCell ref="B76:B80"/>
    <mergeCell ref="F76:F80"/>
    <mergeCell ref="G76:G80"/>
    <mergeCell ref="H76:H80"/>
    <mergeCell ref="B82:B86"/>
    <mergeCell ref="F82:F86"/>
    <mergeCell ref="G82:G86"/>
    <mergeCell ref="H82:H86"/>
    <mergeCell ref="B88:B89"/>
    <mergeCell ref="F88:F89"/>
    <mergeCell ref="G88:G89"/>
    <mergeCell ref="H88:H89"/>
    <mergeCell ref="B91:B95"/>
    <mergeCell ref="F91:F95"/>
    <mergeCell ref="G91:G95"/>
    <mergeCell ref="H91:H95"/>
    <mergeCell ref="B97:B101"/>
    <mergeCell ref="F97:F101"/>
    <mergeCell ref="G97:G101"/>
    <mergeCell ref="H97:H101"/>
    <mergeCell ref="B103:B107"/>
    <mergeCell ref="F103:F107"/>
    <mergeCell ref="G103:G107"/>
    <mergeCell ref="H103:H107"/>
  </mergeCells>
  <conditionalFormatting sqref="E1:G1">
    <cfRule type="expression" dxfId="4" priority="1">
      <formula>E1="Sehr hoch"</formula>
    </cfRule>
    <cfRule type="expression" dxfId="5" priority="2">
      <formula>E1="Hoch"</formula>
    </cfRule>
    <cfRule type="expression" dxfId="6" priority="3">
      <formula>E1="Normal"</formula>
    </cfRule>
    <cfRule type="expression" dxfId="7" priority="4">
      <formula>OR(ISNUMBER(SEARCH("prüfen",E1)),ISNUMBER(SEARCH("ausfüllen",E1)))</formula>
    </cfRule>
  </conditionalFormatting>
  <conditionalFormatting sqref="G3:G7">
    <cfRule type="expression" dxfId="8" priority="1">
      <formula>G3="Sehr hoch"</formula>
    </cfRule>
    <cfRule type="expression" dxfId="9" priority="2">
      <formula>G3="Hoch"</formula>
    </cfRule>
    <cfRule type="expression" dxfId="10" priority="3">
      <formula>G3="Normal"</formula>
    </cfRule>
    <cfRule type="expression" dxfId="11" priority="4">
      <formula>OR(ISNUMBER(SEARCH("prüfen",G3)),ISNUMBER(SEARCH("ausfüllen",G3)))</formula>
    </cfRule>
  </conditionalFormatting>
  <conditionalFormatting sqref="G9:G13">
    <cfRule type="expression" dxfId="12" priority="1">
      <formula>G9="Sehr hoch"</formula>
    </cfRule>
    <cfRule type="expression" dxfId="13" priority="2">
      <formula>G9="Hoch"</formula>
    </cfRule>
    <cfRule type="expression" dxfId="14" priority="3">
      <formula>G9="Normal"</formula>
    </cfRule>
    <cfRule type="expression" dxfId="15" priority="4">
      <formula>OR(ISNUMBER(SEARCH("prüfen",G9)),ISNUMBER(SEARCH("ausfüllen",G9)))</formula>
    </cfRule>
  </conditionalFormatting>
  <conditionalFormatting sqref="G17:G21">
    <cfRule type="expression" dxfId="16" priority="1">
      <formula>G17="Sehr hoch"</formula>
    </cfRule>
    <cfRule type="expression" dxfId="17" priority="2">
      <formula>G17="Hoch"</formula>
    </cfRule>
    <cfRule type="expression" dxfId="18" priority="3">
      <formula>G17="Normal"</formula>
    </cfRule>
    <cfRule type="expression" dxfId="19" priority="4">
      <formula>OR(ISNUMBER(SEARCH("prüfen",G17)),ISNUMBER(SEARCH("ausfüllen",G17)))</formula>
    </cfRule>
  </conditionalFormatting>
  <conditionalFormatting sqref="G23:G27">
    <cfRule type="expression" dxfId="20" priority="1">
      <formula>G23="Sehr hoch"</formula>
    </cfRule>
    <cfRule type="expression" dxfId="21" priority="2">
      <formula>G23="Hoch"</formula>
    </cfRule>
    <cfRule type="expression" dxfId="22" priority="3">
      <formula>G23="Normal"</formula>
    </cfRule>
    <cfRule type="expression" dxfId="23" priority="4">
      <formula>OR(ISNUMBER(SEARCH("prüfen",G23)),ISNUMBER(SEARCH("ausfüllen",G23)))</formula>
    </cfRule>
  </conditionalFormatting>
  <conditionalFormatting sqref="G29:G33">
    <cfRule type="expression" dxfId="24" priority="1">
      <formula>G29="Sehr hoch"</formula>
    </cfRule>
    <cfRule type="expression" dxfId="25" priority="2">
      <formula>G29="Hoch"</formula>
    </cfRule>
    <cfRule type="expression" dxfId="26" priority="3">
      <formula>G29="Normal"</formula>
    </cfRule>
    <cfRule type="expression" dxfId="27" priority="4">
      <formula>OR(ISNUMBER(SEARCH("prüfen",G29)),ISNUMBER(SEARCH("ausfüllen",G29)))</formula>
    </cfRule>
  </conditionalFormatting>
  <conditionalFormatting sqref="E35">
    <cfRule type="expression" dxfId="28" priority="1">
      <formula>E35="Sehr hoch"</formula>
    </cfRule>
    <cfRule type="expression" dxfId="29" priority="2">
      <formula>E35="Hoch"</formula>
    </cfRule>
    <cfRule type="expression" dxfId="30" priority="3">
      <formula>E35="Normal"</formula>
    </cfRule>
    <cfRule type="expression" dxfId="31" priority="4">
      <formula>OR(ISNUMBER(SEARCH("prüfen",E35)),ISNUMBER(SEARCH("ausfüllen",E35)))</formula>
    </cfRule>
  </conditionalFormatting>
  <conditionalFormatting sqref="E37:G37">
    <cfRule type="expression" dxfId="32" priority="1">
      <formula>E37="Sehr hoch"</formula>
    </cfRule>
    <cfRule type="expression" dxfId="33" priority="2">
      <formula>E37="Hoch"</formula>
    </cfRule>
    <cfRule type="expression" dxfId="34" priority="3">
      <formula>E37="Normal"</formula>
    </cfRule>
    <cfRule type="expression" dxfId="35" priority="4">
      <formula>OR(ISNUMBER(SEARCH("prüfen",E37)),ISNUMBER(SEARCH("ausfüllen",E37)))</formula>
    </cfRule>
  </conditionalFormatting>
  <conditionalFormatting sqref="G39:G43">
    <cfRule type="expression" dxfId="36" priority="1">
      <formula>G39="Sehr hoch"</formula>
    </cfRule>
    <cfRule type="expression" dxfId="37" priority="2">
      <formula>G39="Hoch"</formula>
    </cfRule>
    <cfRule type="expression" dxfId="38" priority="3">
      <formula>G39="Normal"</formula>
    </cfRule>
    <cfRule type="expression" dxfId="39" priority="4">
      <formula>OR(ISNUMBER(SEARCH("prüfen",G39)),ISNUMBER(SEARCH("ausfüllen",G39)))</formula>
    </cfRule>
  </conditionalFormatting>
  <conditionalFormatting sqref="G45:G49">
    <cfRule type="expression" dxfId="40" priority="1">
      <formula>G45="Sehr hoch"</formula>
    </cfRule>
    <cfRule type="expression" dxfId="41" priority="2">
      <formula>G45="Hoch"</formula>
    </cfRule>
    <cfRule type="expression" dxfId="42" priority="3">
      <formula>G45="Normal"</formula>
    </cfRule>
    <cfRule type="expression" dxfId="43" priority="4">
      <formula>OR(ISNUMBER(SEARCH("prüfen",G45)),ISNUMBER(SEARCH("ausfüllen",G45)))</formula>
    </cfRule>
  </conditionalFormatting>
  <conditionalFormatting sqref="G51:G52">
    <cfRule type="expression" dxfId="44" priority="1">
      <formula>G51="Sehr hoch"</formula>
    </cfRule>
    <cfRule type="expression" dxfId="45" priority="2">
      <formula>G51="Hoch"</formula>
    </cfRule>
    <cfRule type="expression" dxfId="46" priority="3">
      <formula>G51="Normal"</formula>
    </cfRule>
    <cfRule type="expression" dxfId="47" priority="4">
      <formula>OR(ISNUMBER(SEARCH("prüfen",G51)),ISNUMBER(SEARCH("ausfüllen",G51)))</formula>
    </cfRule>
  </conditionalFormatting>
  <conditionalFormatting sqref="G54:G58">
    <cfRule type="expression" dxfId="48" priority="1">
      <formula>G54="Sehr hoch"</formula>
    </cfRule>
    <cfRule type="expression" dxfId="49" priority="2">
      <formula>G54="Hoch"</formula>
    </cfRule>
    <cfRule type="expression" dxfId="50" priority="3">
      <formula>G54="Normal"</formula>
    </cfRule>
    <cfRule type="expression" dxfId="51" priority="4">
      <formula>OR(ISNUMBER(SEARCH("prüfen",G54)),ISNUMBER(SEARCH("ausfüllen",G54)))</formula>
    </cfRule>
  </conditionalFormatting>
  <conditionalFormatting sqref="G60:G64">
    <cfRule type="expression" dxfId="52" priority="1">
      <formula>G60="Sehr hoch"</formula>
    </cfRule>
    <cfRule type="expression" dxfId="53" priority="2">
      <formula>G60="Hoch"</formula>
    </cfRule>
    <cfRule type="expression" dxfId="54" priority="3">
      <formula>G60="Normal"</formula>
    </cfRule>
    <cfRule type="expression" dxfId="55" priority="4">
      <formula>OR(ISNUMBER(SEARCH("prüfen",G60)),ISNUMBER(SEARCH("ausfüllen",G60)))</formula>
    </cfRule>
  </conditionalFormatting>
  <conditionalFormatting sqref="G66:G70">
    <cfRule type="expression" dxfId="56" priority="1">
      <formula>G66="Sehr hoch"</formula>
    </cfRule>
    <cfRule type="expression" dxfId="57" priority="2">
      <formula>G66="Hoch"</formula>
    </cfRule>
    <cfRule type="expression" dxfId="58" priority="3">
      <formula>G66="Normal"</formula>
    </cfRule>
    <cfRule type="expression" dxfId="59" priority="4">
      <formula>OR(ISNUMBER(SEARCH("prüfen",G66)),ISNUMBER(SEARCH("ausfüllen",G66)))</formula>
    </cfRule>
  </conditionalFormatting>
  <conditionalFormatting sqref="E72">
    <cfRule type="expression" dxfId="60" priority="1">
      <formula>E72="Sehr hoch"</formula>
    </cfRule>
    <cfRule type="expression" dxfId="61" priority="2">
      <formula>E72="Hoch"</formula>
    </cfRule>
    <cfRule type="expression" dxfId="62" priority="3">
      <formula>E72="Normal"</formula>
    </cfRule>
    <cfRule type="expression" dxfId="63" priority="4">
      <formula>OR(ISNUMBER(SEARCH("prüfen",E72)),ISNUMBER(SEARCH("ausfüllen",E72)))</formula>
    </cfRule>
  </conditionalFormatting>
  <conditionalFormatting sqref="E74:G74">
    <cfRule type="expression" dxfId="64" priority="1">
      <formula>E74="Sehr hoch"</formula>
    </cfRule>
    <cfRule type="expression" dxfId="65" priority="2">
      <formula>E74="Hoch"</formula>
    </cfRule>
    <cfRule type="expression" dxfId="66" priority="3">
      <formula>E74="Normal"</formula>
    </cfRule>
    <cfRule type="expression" dxfId="67" priority="4">
      <formula>OR(ISNUMBER(SEARCH("prüfen",E74)),ISNUMBER(SEARCH("ausfüllen",E74)))</formula>
    </cfRule>
  </conditionalFormatting>
  <conditionalFormatting sqref="G76:G80">
    <cfRule type="expression" dxfId="68" priority="1">
      <formula>G76="Sehr hoch"</formula>
    </cfRule>
    <cfRule type="expression" dxfId="69" priority="2">
      <formula>G76="Hoch"</formula>
    </cfRule>
    <cfRule type="expression" dxfId="70" priority="3">
      <formula>G76="Normal"</formula>
    </cfRule>
    <cfRule type="expression" dxfId="71" priority="4">
      <formula>OR(ISNUMBER(SEARCH("prüfen",G76)),ISNUMBER(SEARCH("ausfüllen",G76)))</formula>
    </cfRule>
  </conditionalFormatting>
  <conditionalFormatting sqref="G82:G86">
    <cfRule type="expression" dxfId="72" priority="1">
      <formula>G82="Sehr hoch"</formula>
    </cfRule>
    <cfRule type="expression" dxfId="73" priority="2">
      <formula>G82="Hoch"</formula>
    </cfRule>
    <cfRule type="expression" dxfId="74" priority="3">
      <formula>G82="Normal"</formula>
    </cfRule>
    <cfRule type="expression" dxfId="75" priority="4">
      <formula>OR(ISNUMBER(SEARCH("prüfen",G82)),ISNUMBER(SEARCH("ausfüllen",G82)))</formula>
    </cfRule>
  </conditionalFormatting>
  <conditionalFormatting sqref="G88:G89">
    <cfRule type="expression" dxfId="76" priority="1">
      <formula>G88="Sehr hoch"</formula>
    </cfRule>
    <cfRule type="expression" dxfId="77" priority="2">
      <formula>G88="Hoch"</formula>
    </cfRule>
    <cfRule type="expression" dxfId="78" priority="3">
      <formula>G88="Normal"</formula>
    </cfRule>
    <cfRule type="expression" dxfId="79" priority="4">
      <formula>OR(ISNUMBER(SEARCH("prüfen",G88)),ISNUMBER(SEARCH("ausfüllen",G88)))</formula>
    </cfRule>
  </conditionalFormatting>
  <conditionalFormatting sqref="G91:G95">
    <cfRule type="expression" dxfId="80" priority="1">
      <formula>G91="Sehr hoch"</formula>
    </cfRule>
    <cfRule type="expression" dxfId="81" priority="2">
      <formula>G91="Hoch"</formula>
    </cfRule>
    <cfRule type="expression" dxfId="82" priority="3">
      <formula>G91="Normal"</formula>
    </cfRule>
    <cfRule type="expression" dxfId="83" priority="4">
      <formula>OR(ISNUMBER(SEARCH("prüfen",G91)),ISNUMBER(SEARCH("ausfüllen",G91)))</formula>
    </cfRule>
  </conditionalFormatting>
  <conditionalFormatting sqref="G97:G101">
    <cfRule type="expression" dxfId="84" priority="1">
      <formula>G97="Sehr hoch"</formula>
    </cfRule>
    <cfRule type="expression" dxfId="85" priority="2">
      <formula>G97="Hoch"</formula>
    </cfRule>
    <cfRule type="expression" dxfId="86" priority="3">
      <formula>G97="Normal"</formula>
    </cfRule>
    <cfRule type="expression" dxfId="87" priority="4">
      <formula>OR(ISNUMBER(SEARCH("prüfen",G97)),ISNUMBER(SEARCH("ausfüllen",G97)))</formula>
    </cfRule>
  </conditionalFormatting>
  <conditionalFormatting sqref="G103:G107">
    <cfRule type="expression" dxfId="88" priority="1">
      <formula>G103="Sehr hoch"</formula>
    </cfRule>
    <cfRule type="expression" dxfId="89" priority="2">
      <formula>G103="Hoch"</formula>
    </cfRule>
    <cfRule type="expression" dxfId="90" priority="3">
      <formula>G103="Normal"</formula>
    </cfRule>
    <cfRule type="expression" dxfId="91" priority="4">
      <formula>OR(ISNUMBER(SEARCH("prüfen",G103)),ISNUMBER(SEARCH("ausfüllen",G103)))</formula>
    </cfRule>
  </conditionalFormatting>
  <conditionalFormatting sqref="E109">
    <cfRule type="expression" dxfId="92" priority="1">
      <formula>E109="Sehr hoch"</formula>
    </cfRule>
    <cfRule type="expression" dxfId="93" priority="2">
      <formula>E109="Hoch"</formula>
    </cfRule>
    <cfRule type="expression" dxfId="94" priority="3">
      <formula>E109="Normal"</formula>
    </cfRule>
    <cfRule type="expression" dxfId="95" priority="4">
      <formula>OR(ISNUMBER(SEARCH("prüfen",E109)),ISNUMBER(SEARCH("ausfüllen",E109)))</formula>
    </cfRule>
  </conditionalFormatting>
  <conditionalFormatting sqref="E3 E5 E6 E7 E9 E11 E12 E13 E17 E19 E20 E21 E23 E25 E26 E27 E29 E31 E32 E33 E39 E41 E42 E43 E45 E47 E48 E49 E51 E52 E54 E56 E57 E58 E60 E62 E63 E64 E66 E68 E69 E70 E76 E78 E79 E80 E82 E84 E85 E86 E88 E89 E91 E93 E94 E95 E97 E99 E100 E101 E103 E105 E106 E107">
    <cfRule type="expression" dxfId="96" priority="10">
      <formula>E3="Nein"</formula>
    </cfRule>
  </conditionalFormatting>
  <dataValidations count="33">
    <dataValidation type="list" allowBlank="1" sqref="E100:E101">
      <formula1>"Ja,Nein"</formula1>
    </dataValidation>
    <dataValidation type="list" allowBlank="1" sqref="E103">
      <formula1>"Ja,Nein"</formula1>
    </dataValidation>
    <dataValidation type="list" allowBlank="1" sqref="E105:E107">
      <formula1>"Ja,Nein"</formula1>
    </dataValidation>
    <dataValidation type="list" allowBlank="1" sqref="E11:E13">
      <formula1>"Ja,Nein"</formula1>
    </dataValidation>
    <dataValidation type="list" allowBlank="1" sqref="E17">
      <formula1>"Ja,Nein"</formula1>
    </dataValidation>
    <dataValidation type="list" allowBlank="1" sqref="E19:E21">
      <formula1>"Ja,Nein"</formula1>
    </dataValidation>
    <dataValidation type="list" allowBlank="1" sqref="E23">
      <formula1>"Ja,Nein"</formula1>
    </dataValidation>
    <dataValidation type="list" allowBlank="1" sqref="E25:E27">
      <formula1>"Ja,Nein"</formula1>
    </dataValidation>
    <dataValidation type="list" allowBlank="1" sqref="E29">
      <formula1>"Ja,Nein"</formula1>
    </dataValidation>
    <dataValidation type="list" allowBlank="1" sqref="E3">
      <formula1>"Ja,Nein"</formula1>
    </dataValidation>
    <dataValidation type="list" allowBlank="1" sqref="E31:E33">
      <formula1>"Ja,Nein"</formula1>
    </dataValidation>
    <dataValidation type="list" allowBlank="1" sqref="E39">
      <formula1>"Ja,Nein"</formula1>
    </dataValidation>
    <dataValidation type="list" allowBlank="1" sqref="E41:E43">
      <formula1>"Ja,Nein"</formula1>
    </dataValidation>
    <dataValidation type="list" allowBlank="1" sqref="E45">
      <formula1>"Ja,Nein"</formula1>
    </dataValidation>
    <dataValidation type="list" allowBlank="1" sqref="E47:E49">
      <formula1>"Ja,Nein"</formula1>
    </dataValidation>
    <dataValidation type="list" allowBlank="1" sqref="E5:E7">
      <formula1>"Ja,Nein"</formula1>
    </dataValidation>
    <dataValidation type="list" allowBlank="1" sqref="E51:E52">
      <formula1>"Ja,Nein"</formula1>
    </dataValidation>
    <dataValidation type="list" allowBlank="1" sqref="E54">
      <formula1>"Ja,Nein"</formula1>
    </dataValidation>
    <dataValidation type="list" allowBlank="1" sqref="E56:E58">
      <formula1>"Ja,Nein"</formula1>
    </dataValidation>
    <dataValidation type="list" allowBlank="1" sqref="E60">
      <formula1>"Ja,Nein"</formula1>
    </dataValidation>
    <dataValidation type="list" allowBlank="1" sqref="E62:E64">
      <formula1>"Ja,Nein"</formula1>
    </dataValidation>
    <dataValidation type="list" allowBlank="1" sqref="E66">
      <formula1>"Ja,Nein"</formula1>
    </dataValidation>
    <dataValidation type="list" allowBlank="1" sqref="E68:E70">
      <formula1>"Ja,Nein"</formula1>
    </dataValidation>
    <dataValidation type="list" allowBlank="1" sqref="E76">
      <formula1>"Ja,Nein"</formula1>
    </dataValidation>
    <dataValidation type="list" allowBlank="1" sqref="E78:E80">
      <formula1>"Ja,Nein"</formula1>
    </dataValidation>
    <dataValidation type="list" allowBlank="1" sqref="E82">
      <formula1>"Ja,Nein"</formula1>
    </dataValidation>
    <dataValidation type="list" allowBlank="1" sqref="E84:E86">
      <formula1>"Ja,Nein"</formula1>
    </dataValidation>
    <dataValidation type="list" allowBlank="1" sqref="E88:E89">
      <formula1>"Ja,Nein"</formula1>
    </dataValidation>
    <dataValidation type="list" allowBlank="1" sqref="E9">
      <formula1>"Ja,Nein"</formula1>
    </dataValidation>
    <dataValidation type="list" allowBlank="1" sqref="E91">
      <formula1>"Ja,Nein"</formula1>
    </dataValidation>
    <dataValidation type="list" allowBlank="1" sqref="E93:E95">
      <formula1>"Ja,Nein"</formula1>
    </dataValidation>
    <dataValidation type="list" allowBlank="1" sqref="E97">
      <formula1>"Ja,Nein"</formula1>
    </dataValidation>
    <dataValidation type="list" allowBlank="1" sqref="E99:E101">
      <formula1>"Ja,Nein"</formula1>
    </dataValidation>
  </dataValidations>
  <pageMargins left="0.7" right="0.7" top="0.75" bottom="0.75" header="0.3" footer="0.3"/>
  <pageSetup paperSize="9"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2"/>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0" customWidth="1"/>
    <col min="3" max="3" width="28" customWidth="1"/>
    <col min="4" max="4" width="22" customWidth="1"/>
    <col min="5" max="5" width="38" customWidth="1"/>
    <col min="6" max="7" width="28" customWidth="1"/>
    <col min="8" max="8" width="44" customWidth="1"/>
  </cols>
  <sheetData>
    <row r="1" spans="1:8" x14ac:dyDescent="0.25">
      <c r="A1" s="6" t="s">
        <v>123</v>
      </c>
      <c r="B1" s="6" t="s">
        <v>30</v>
      </c>
      <c r="C1" s="6" t="s">
        <v>124</v>
      </c>
      <c r="D1" s="6" t="s">
        <v>125</v>
      </c>
      <c r="E1" s="6" t="s">
        <v>126</v>
      </c>
      <c r="F1" s="6" t="s">
        <v>127</v>
      </c>
      <c r="G1" s="6" t="s">
        <v>128</v>
      </c>
      <c r="H1" s="6" t="s">
        <v>129</v>
      </c>
    </row>
    <row r="2" spans="1:8" x14ac:dyDescent="0.25">
      <c r="A2" s="9" t="s">
        <v>130</v>
      </c>
      <c r="B2" s="9" t="s">
        <v>131</v>
      </c>
      <c r="C2" s="9" t="s">
        <v>10</v>
      </c>
      <c r="D2" s="9" t="s">
        <v>132</v>
      </c>
      <c r="E2" s="9" t="s">
        <v>14</v>
      </c>
      <c r="F2" s="9" t="s">
        <v>14</v>
      </c>
      <c r="G2" s="9" t="s">
        <v>131</v>
      </c>
      <c r="H2" s="9" t="s">
        <v>14</v>
      </c>
    </row>
    <row r="3" spans="1:8" x14ac:dyDescent="0.25">
      <c r="A3" s="9" t="s">
        <v>133</v>
      </c>
      <c r="B3" s="9" t="s">
        <v>131</v>
      </c>
      <c r="C3" s="9" t="s">
        <v>10</v>
      </c>
      <c r="D3" s="9" t="s">
        <v>134</v>
      </c>
      <c r="E3" s="9" t="s">
        <v>38</v>
      </c>
      <c r="F3" s="9" t="s">
        <v>14</v>
      </c>
      <c r="G3" s="9" t="s">
        <v>39</v>
      </c>
      <c r="H3" s="9" t="s">
        <v>14</v>
      </c>
    </row>
    <row r="4" spans="1:8" x14ac:dyDescent="0.25">
      <c r="A4" s="9" t="s">
        <v>135</v>
      </c>
      <c r="B4" s="9" t="s">
        <v>131</v>
      </c>
      <c r="C4" s="9" t="s">
        <v>10</v>
      </c>
      <c r="D4" s="9" t="s">
        <v>134</v>
      </c>
      <c r="E4" s="9" t="s">
        <v>136</v>
      </c>
      <c r="F4" s="9" t="s">
        <v>14</v>
      </c>
      <c r="G4" s="9" t="s">
        <v>41</v>
      </c>
      <c r="H4" s="9" t="s">
        <v>14</v>
      </c>
    </row>
    <row r="5" spans="1:8" x14ac:dyDescent="0.25">
      <c r="A5" s="9" t="s">
        <v>137</v>
      </c>
      <c r="B5" s="9" t="s">
        <v>131</v>
      </c>
      <c r="C5" s="9" t="s">
        <v>10</v>
      </c>
      <c r="D5" s="9" t="s">
        <v>134</v>
      </c>
      <c r="E5" s="9" t="s">
        <v>43</v>
      </c>
      <c r="F5" s="9" t="s">
        <v>14</v>
      </c>
      <c r="G5" s="9" t="s">
        <v>44</v>
      </c>
      <c r="H5" s="9" t="s">
        <v>14</v>
      </c>
    </row>
    <row r="6" spans="1:8" x14ac:dyDescent="0.25">
      <c r="A6" s="9" t="s">
        <v>138</v>
      </c>
      <c r="B6" s="9" t="s">
        <v>131</v>
      </c>
      <c r="C6" s="9" t="s">
        <v>10</v>
      </c>
      <c r="D6" s="9" t="s">
        <v>134</v>
      </c>
      <c r="E6" s="9" t="s">
        <v>139</v>
      </c>
      <c r="F6" s="9" t="s">
        <v>14</v>
      </c>
      <c r="G6" s="9" t="s">
        <v>68</v>
      </c>
      <c r="H6" s="9" t="s">
        <v>14</v>
      </c>
    </row>
    <row r="7" spans="1:8" x14ac:dyDescent="0.25">
      <c r="A7" s="9" t="s">
        <v>140</v>
      </c>
      <c r="B7" s="9" t="s">
        <v>131</v>
      </c>
      <c r="C7" s="9" t="s">
        <v>10</v>
      </c>
      <c r="D7" s="9" t="s">
        <v>134</v>
      </c>
      <c r="E7" s="9" t="s">
        <v>141</v>
      </c>
      <c r="F7" s="9" t="s">
        <v>14</v>
      </c>
      <c r="G7" s="9" t="s">
        <v>142</v>
      </c>
      <c r="H7" s="9" t="s">
        <v>14</v>
      </c>
    </row>
    <row r="8" spans="1:8" x14ac:dyDescent="0.25">
      <c r="A8" s="9" t="s">
        <v>143</v>
      </c>
      <c r="B8" s="9" t="s">
        <v>131</v>
      </c>
      <c r="C8" s="9" t="s">
        <v>10</v>
      </c>
      <c r="D8" s="9" t="s">
        <v>134</v>
      </c>
      <c r="E8" s="9" t="s">
        <v>144</v>
      </c>
      <c r="F8" s="9" t="s">
        <v>14</v>
      </c>
      <c r="G8" s="9" t="s">
        <v>142</v>
      </c>
      <c r="H8" s="9" t="s">
        <v>14</v>
      </c>
    </row>
    <row r="9" spans="1:8" x14ac:dyDescent="0.25">
      <c r="A9" s="9" t="s">
        <v>145</v>
      </c>
      <c r="B9" s="9" t="s">
        <v>131</v>
      </c>
      <c r="C9" s="9" t="s">
        <v>10</v>
      </c>
      <c r="D9" s="9" t="s">
        <v>134</v>
      </c>
      <c r="E9" s="9" t="s">
        <v>146</v>
      </c>
      <c r="F9" s="9" t="s">
        <v>14</v>
      </c>
      <c r="G9" s="9" t="s">
        <v>142</v>
      </c>
      <c r="H9" s="9" t="s">
        <v>14</v>
      </c>
    </row>
    <row r="10" spans="1:8" x14ac:dyDescent="0.25">
      <c r="A10" s="9" t="s">
        <v>147</v>
      </c>
      <c r="B10" s="9" t="s">
        <v>131</v>
      </c>
      <c r="C10" s="9" t="s">
        <v>10</v>
      </c>
      <c r="D10" s="9" t="s">
        <v>134</v>
      </c>
      <c r="E10" s="9" t="s">
        <v>148</v>
      </c>
      <c r="F10" s="9" t="s">
        <v>14</v>
      </c>
      <c r="G10" s="9" t="s">
        <v>142</v>
      </c>
      <c r="H10" s="9" t="s">
        <v>14</v>
      </c>
    </row>
    <row r="11" spans="1:8" x14ac:dyDescent="0.25">
      <c r="A11" s="9" t="s">
        <v>149</v>
      </c>
      <c r="B11" s="9" t="s">
        <v>131</v>
      </c>
      <c r="C11" s="9" t="s">
        <v>10</v>
      </c>
      <c r="D11" s="9" t="s">
        <v>134</v>
      </c>
      <c r="E11" s="9" t="s">
        <v>150</v>
      </c>
      <c r="F11" s="9" t="s">
        <v>14</v>
      </c>
      <c r="G11" s="9" t="s">
        <v>142</v>
      </c>
      <c r="H11" s="9" t="s">
        <v>14</v>
      </c>
    </row>
    <row r="12" spans="1:8" x14ac:dyDescent="0.25">
      <c r="A12" s="9" t="s">
        <v>151</v>
      </c>
      <c r="B12" s="9" t="s">
        <v>131</v>
      </c>
      <c r="C12" s="9" t="s">
        <v>10</v>
      </c>
      <c r="D12" s="9" t="s">
        <v>134</v>
      </c>
      <c r="E12" s="9" t="s">
        <v>152</v>
      </c>
      <c r="F12" s="9" t="s">
        <v>14</v>
      </c>
      <c r="G12" s="9" t="s">
        <v>142</v>
      </c>
      <c r="H12" s="9" t="s">
        <v>14</v>
      </c>
    </row>
    <row r="13" spans="1:8" x14ac:dyDescent="0.25">
      <c r="A13" s="9" t="s">
        <v>153</v>
      </c>
      <c r="B13" s="9" t="s">
        <v>131</v>
      </c>
      <c r="C13" s="9" t="s">
        <v>10</v>
      </c>
      <c r="D13" s="9" t="s">
        <v>134</v>
      </c>
      <c r="E13" s="9" t="s">
        <v>154</v>
      </c>
      <c r="F13" s="9" t="s">
        <v>14</v>
      </c>
      <c r="G13" s="9" t="s">
        <v>142</v>
      </c>
      <c r="H13" s="9" t="s">
        <v>14</v>
      </c>
    </row>
    <row r="14" spans="1:8" x14ac:dyDescent="0.25">
      <c r="A14" s="9" t="s">
        <v>155</v>
      </c>
      <c r="B14" s="9" t="s">
        <v>131</v>
      </c>
      <c r="C14" s="9" t="s">
        <v>10</v>
      </c>
      <c r="D14" s="9" t="s">
        <v>134</v>
      </c>
      <c r="E14" s="9" t="s">
        <v>156</v>
      </c>
      <c r="F14" s="9" t="s">
        <v>14</v>
      </c>
      <c r="G14" s="9" t="s">
        <v>142</v>
      </c>
      <c r="H14" s="9" t="s">
        <v>14</v>
      </c>
    </row>
    <row r="15" spans="1:8" x14ac:dyDescent="0.25">
      <c r="A15" s="9" t="s">
        <v>157</v>
      </c>
      <c r="B15" s="9" t="s">
        <v>131</v>
      </c>
      <c r="C15" s="9" t="s">
        <v>10</v>
      </c>
      <c r="D15" s="9" t="s">
        <v>134</v>
      </c>
      <c r="E15" s="9" t="s">
        <v>158</v>
      </c>
      <c r="F15" s="9" t="s">
        <v>14</v>
      </c>
      <c r="G15" s="9" t="s">
        <v>142</v>
      </c>
      <c r="H15" s="9" t="s">
        <v>14</v>
      </c>
    </row>
    <row r="16" spans="1:8" x14ac:dyDescent="0.25">
      <c r="A16" s="9" t="s">
        <v>159</v>
      </c>
      <c r="B16" s="9" t="s">
        <v>131</v>
      </c>
      <c r="C16" s="9" t="s">
        <v>10</v>
      </c>
      <c r="D16" s="9" t="s">
        <v>134</v>
      </c>
      <c r="E16" s="9" t="s">
        <v>160</v>
      </c>
      <c r="F16" s="9" t="s">
        <v>14</v>
      </c>
      <c r="G16" s="9" t="s">
        <v>142</v>
      </c>
      <c r="H16" s="9" t="s">
        <v>14</v>
      </c>
    </row>
    <row r="17" spans="1:8" x14ac:dyDescent="0.25">
      <c r="A17" s="9" t="s">
        <v>161</v>
      </c>
      <c r="B17" s="9" t="s">
        <v>131</v>
      </c>
      <c r="C17" s="9" t="s">
        <v>10</v>
      </c>
      <c r="D17" s="9" t="s">
        <v>134</v>
      </c>
      <c r="E17" s="9" t="s">
        <v>162</v>
      </c>
      <c r="F17" s="9" t="s">
        <v>14</v>
      </c>
      <c r="G17" s="9" t="s">
        <v>142</v>
      </c>
      <c r="H17" s="9" t="s">
        <v>14</v>
      </c>
    </row>
    <row r="18" spans="1:8" x14ac:dyDescent="0.25">
      <c r="A18" s="9" t="s">
        <v>163</v>
      </c>
      <c r="B18" s="9" t="s">
        <v>131</v>
      </c>
      <c r="C18" s="9" t="s">
        <v>10</v>
      </c>
      <c r="D18" s="9" t="s">
        <v>134</v>
      </c>
      <c r="E18" s="9" t="s">
        <v>164</v>
      </c>
      <c r="F18" s="9" t="s">
        <v>14</v>
      </c>
      <c r="G18" s="9" t="s">
        <v>142</v>
      </c>
      <c r="H18" s="9" t="s">
        <v>14</v>
      </c>
    </row>
    <row r="19" spans="1:8" x14ac:dyDescent="0.25">
      <c r="A19" s="9" t="s">
        <v>165</v>
      </c>
      <c r="B19" s="9" t="s">
        <v>131</v>
      </c>
      <c r="C19" s="9" t="s">
        <v>10</v>
      </c>
      <c r="D19" s="9" t="s">
        <v>134</v>
      </c>
      <c r="E19" s="9" t="s">
        <v>166</v>
      </c>
      <c r="F19" s="9" t="s">
        <v>14</v>
      </c>
      <c r="G19" s="9" t="s">
        <v>142</v>
      </c>
      <c r="H19" s="9" t="s">
        <v>14</v>
      </c>
    </row>
    <row r="20" spans="1:8" x14ac:dyDescent="0.25">
      <c r="A20" s="9" t="s">
        <v>167</v>
      </c>
      <c r="B20" s="9" t="s">
        <v>131</v>
      </c>
      <c r="C20" s="9" t="s">
        <v>10</v>
      </c>
      <c r="D20" s="9" t="s">
        <v>134</v>
      </c>
      <c r="E20" s="9" t="s">
        <v>168</v>
      </c>
      <c r="F20" s="9" t="s">
        <v>14</v>
      </c>
      <c r="G20" s="9" t="s">
        <v>142</v>
      </c>
      <c r="H20" s="9" t="s">
        <v>14</v>
      </c>
    </row>
    <row r="21" spans="1:8" x14ac:dyDescent="0.25">
      <c r="A21" s="9" t="s">
        <v>169</v>
      </c>
      <c r="B21" s="9" t="s">
        <v>131</v>
      </c>
      <c r="C21" s="9" t="s">
        <v>10</v>
      </c>
      <c r="D21" s="9" t="s">
        <v>134</v>
      </c>
      <c r="E21" s="9" t="s">
        <v>170</v>
      </c>
      <c r="F21" s="9" t="s">
        <v>14</v>
      </c>
      <c r="G21" s="9" t="s">
        <v>142</v>
      </c>
      <c r="H21" s="9" t="s">
        <v>14</v>
      </c>
    </row>
    <row r="22" spans="1:8" x14ac:dyDescent="0.25">
      <c r="A22" s="9" t="s">
        <v>171</v>
      </c>
      <c r="B22" s="9" t="s">
        <v>131</v>
      </c>
      <c r="C22" s="9" t="s">
        <v>10</v>
      </c>
      <c r="D22" s="9" t="s">
        <v>134</v>
      </c>
      <c r="E22" s="9" t="s">
        <v>172</v>
      </c>
      <c r="F22" s="9" t="s">
        <v>14</v>
      </c>
      <c r="G22" s="9" t="s">
        <v>142</v>
      </c>
      <c r="H22" s="9" t="s">
        <v>14</v>
      </c>
    </row>
    <row r="23" spans="1:8" x14ac:dyDescent="0.25">
      <c r="A23" s="9" t="s">
        <v>173</v>
      </c>
      <c r="B23" s="9" t="s">
        <v>131</v>
      </c>
      <c r="C23" s="9" t="s">
        <v>10</v>
      </c>
      <c r="D23" s="9" t="s">
        <v>134</v>
      </c>
      <c r="E23" s="9" t="s">
        <v>174</v>
      </c>
      <c r="F23" s="9" t="s">
        <v>14</v>
      </c>
      <c r="G23" s="9" t="s">
        <v>142</v>
      </c>
      <c r="H23" s="9" t="s">
        <v>14</v>
      </c>
    </row>
    <row r="24" spans="1:8" x14ac:dyDescent="0.25">
      <c r="A24" s="9" t="s">
        <v>175</v>
      </c>
      <c r="B24" s="9" t="s">
        <v>131</v>
      </c>
      <c r="C24" s="9" t="s">
        <v>10</v>
      </c>
      <c r="D24" s="9" t="s">
        <v>134</v>
      </c>
      <c r="E24" s="9" t="s">
        <v>144</v>
      </c>
      <c r="F24" s="9" t="s">
        <v>142</v>
      </c>
      <c r="G24" s="9" t="s">
        <v>176</v>
      </c>
      <c r="H24" s="9" t="s">
        <v>14</v>
      </c>
    </row>
    <row r="25" spans="1:8" x14ac:dyDescent="0.25">
      <c r="A25" s="9" t="s">
        <v>177</v>
      </c>
      <c r="B25" s="9" t="s">
        <v>131</v>
      </c>
      <c r="C25" s="9" t="s">
        <v>10</v>
      </c>
      <c r="D25" s="9" t="s">
        <v>134</v>
      </c>
      <c r="E25" s="9" t="s">
        <v>178</v>
      </c>
      <c r="F25" s="9" t="s">
        <v>14</v>
      </c>
      <c r="G25" s="9" t="s">
        <v>77</v>
      </c>
      <c r="H25" s="9" t="s">
        <v>14</v>
      </c>
    </row>
    <row r="26" spans="1:8" x14ac:dyDescent="0.25">
      <c r="A26" s="9" t="s">
        <v>179</v>
      </c>
      <c r="B26" s="9" t="s">
        <v>131</v>
      </c>
      <c r="C26" s="9" t="s">
        <v>10</v>
      </c>
      <c r="D26" s="9" t="s">
        <v>134</v>
      </c>
      <c r="E26" s="9" t="s">
        <v>141</v>
      </c>
      <c r="F26" s="9" t="s">
        <v>142</v>
      </c>
      <c r="G26" s="9" t="s">
        <v>176</v>
      </c>
      <c r="H26" s="9" t="s">
        <v>14</v>
      </c>
    </row>
    <row r="27" spans="1:8" x14ac:dyDescent="0.25">
      <c r="A27" s="9" t="s">
        <v>180</v>
      </c>
      <c r="B27" s="9" t="s">
        <v>131</v>
      </c>
      <c r="C27" s="9" t="s">
        <v>10</v>
      </c>
      <c r="D27" s="9" t="s">
        <v>134</v>
      </c>
      <c r="E27" s="9" t="s">
        <v>181</v>
      </c>
      <c r="F27" s="9" t="s">
        <v>14</v>
      </c>
      <c r="G27" s="9" t="s">
        <v>69</v>
      </c>
      <c r="H27" s="9" t="s">
        <v>14</v>
      </c>
    </row>
    <row r="28" spans="1:8" x14ac:dyDescent="0.25">
      <c r="A28" s="9" t="s">
        <v>182</v>
      </c>
      <c r="B28" s="9" t="s">
        <v>131</v>
      </c>
      <c r="C28" s="9" t="s">
        <v>10</v>
      </c>
      <c r="D28" s="9" t="s">
        <v>134</v>
      </c>
      <c r="E28" s="9" t="s">
        <v>170</v>
      </c>
      <c r="F28" s="9" t="s">
        <v>142</v>
      </c>
      <c r="G28" s="9" t="s">
        <v>183</v>
      </c>
      <c r="H28" s="9" t="s">
        <v>14</v>
      </c>
    </row>
    <row r="29" spans="1:8" x14ac:dyDescent="0.25">
      <c r="A29" s="9" t="s">
        <v>184</v>
      </c>
      <c r="B29" s="9" t="s">
        <v>131</v>
      </c>
      <c r="C29" s="9" t="s">
        <v>10</v>
      </c>
      <c r="D29" s="9" t="s">
        <v>134</v>
      </c>
      <c r="E29" s="9" t="s">
        <v>185</v>
      </c>
      <c r="F29" s="9" t="s">
        <v>14</v>
      </c>
      <c r="G29" s="9" t="s">
        <v>118</v>
      </c>
      <c r="H29" s="9" t="s">
        <v>14</v>
      </c>
    </row>
    <row r="30" spans="1:8" x14ac:dyDescent="0.25">
      <c r="A30" s="9" t="s">
        <v>186</v>
      </c>
      <c r="B30" s="9" t="s">
        <v>131</v>
      </c>
      <c r="C30" s="9" t="s">
        <v>10</v>
      </c>
      <c r="D30" s="9" t="s">
        <v>134</v>
      </c>
      <c r="E30" s="9" t="s">
        <v>187</v>
      </c>
      <c r="F30" s="9" t="s">
        <v>14</v>
      </c>
      <c r="G30" s="9" t="s">
        <v>24</v>
      </c>
      <c r="H30" s="9" t="s">
        <v>14</v>
      </c>
    </row>
    <row r="31" spans="1:8" x14ac:dyDescent="0.25">
      <c r="A31" s="9" t="s">
        <v>188</v>
      </c>
      <c r="B31" s="9" t="s">
        <v>131</v>
      </c>
      <c r="C31" s="9" t="s">
        <v>10</v>
      </c>
      <c r="D31" s="9" t="s">
        <v>134</v>
      </c>
      <c r="E31" s="9" t="s">
        <v>189</v>
      </c>
      <c r="F31" s="9" t="s">
        <v>14</v>
      </c>
      <c r="G31" s="9" t="s">
        <v>27</v>
      </c>
      <c r="H31" s="9" t="s">
        <v>14</v>
      </c>
    </row>
    <row r="32" spans="1:8" x14ac:dyDescent="0.25">
      <c r="A32" s="9" t="s">
        <v>190</v>
      </c>
      <c r="B32" s="9" t="s">
        <v>5</v>
      </c>
      <c r="C32" s="9" t="s">
        <v>10</v>
      </c>
      <c r="D32" s="9" t="s">
        <v>50</v>
      </c>
      <c r="E32" s="9" t="s">
        <v>14</v>
      </c>
      <c r="F32" s="9" t="s">
        <v>131</v>
      </c>
      <c r="G32" s="9" t="s">
        <v>5</v>
      </c>
      <c r="H32" s="9" t="s">
        <v>14</v>
      </c>
    </row>
  </sheetData>
  <autoFilter ref="A1:H32"/>
  <pageMargins left="0.7" right="0.7" top="0.75" bottom="0.75" header="0.3" footer="0.3"/>
  <pageSetup paperSize="9"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
  <sheetViews>
    <sheetView workbookViewId="0">
      <pane xSplit="1" ySplit="2" topLeftCell="B3" activePane="bottomRight" state="frozen"/>
      <selection pane="bottomRight"/>
    </sheetView>
  </sheetViews>
  <sheetFormatPr defaultRowHeight="15" outlineLevelRow="0" outlineLevelCol="0" x14ac:dyDescent="55"/>
  <cols>
    <col min="1" max="1" width="22" customWidth="1"/>
    <col min="2" max="10" width="34" customWidth="1"/>
  </cols>
  <sheetData>
    <row r="1" spans="1:10" x14ac:dyDescent="0.25">
      <c r="A1" s="6" t="s">
        <v>191</v>
      </c>
      <c r="B1" s="20" t="s">
        <v>192</v>
      </c>
      <c r="C1" s="20"/>
      <c r="D1" s="20"/>
      <c r="E1" s="21" t="s">
        <v>193</v>
      </c>
      <c r="F1" s="21"/>
      <c r="G1" s="21"/>
      <c r="H1" s="22" t="s">
        <v>194</v>
      </c>
      <c r="I1" s="22"/>
      <c r="J1" s="22"/>
    </row>
    <row r="2" spans="1:10" x14ac:dyDescent="0.25">
      <c r="A2" s="6"/>
      <c r="B2" s="6" t="s">
        <v>23</v>
      </c>
      <c r="C2" s="6" t="s">
        <v>25</v>
      </c>
      <c r="D2" s="6" t="s">
        <v>26</v>
      </c>
      <c r="E2" s="6" t="s">
        <v>23</v>
      </c>
      <c r="F2" s="6" t="s">
        <v>25</v>
      </c>
      <c r="G2" s="6" t="s">
        <v>26</v>
      </c>
      <c r="H2" s="6" t="s">
        <v>23</v>
      </c>
      <c r="I2" s="6" t="s">
        <v>25</v>
      </c>
      <c r="J2" s="6" t="s">
        <v>26</v>
      </c>
    </row>
    <row r="3" ht="150" customHeight="1" spans="1:10" x14ac:dyDescent="0.25">
      <c r="A3" s="15" t="s">
        <v>66</v>
      </c>
      <c r="B3" s="9" t="s">
        <v>195</v>
      </c>
      <c r="C3" s="9" t="s">
        <v>196</v>
      </c>
      <c r="D3" s="9" t="s">
        <v>197</v>
      </c>
      <c r="E3" s="9" t="s">
        <v>198</v>
      </c>
      <c r="F3" s="9" t="s">
        <v>199</v>
      </c>
      <c r="G3" s="9" t="s">
        <v>200</v>
      </c>
      <c r="H3" s="9" t="s">
        <v>201</v>
      </c>
      <c r="I3" s="9" t="s">
        <v>202</v>
      </c>
      <c r="J3" s="9" t="s">
        <v>203</v>
      </c>
    </row>
    <row r="4" ht="150" customHeight="1" spans="1:10" x14ac:dyDescent="0.25">
      <c r="A4" s="15" t="s">
        <v>75</v>
      </c>
      <c r="B4" s="9" t="s">
        <v>204</v>
      </c>
      <c r="C4" s="9" t="s">
        <v>205</v>
      </c>
      <c r="D4" s="9" t="s">
        <v>206</v>
      </c>
      <c r="E4" s="9" t="s">
        <v>207</v>
      </c>
      <c r="F4" s="9" t="s">
        <v>208</v>
      </c>
      <c r="G4" s="9" t="s">
        <v>209</v>
      </c>
      <c r="H4" s="9" t="s">
        <v>210</v>
      </c>
      <c r="I4" s="9" t="s">
        <v>211</v>
      </c>
      <c r="J4" s="9" t="s">
        <v>212</v>
      </c>
    </row>
    <row r="5" ht="150" customHeight="1" spans="1:10" x14ac:dyDescent="0.25">
      <c r="A5" s="15" t="s">
        <v>82</v>
      </c>
      <c r="B5" s="9" t="s">
        <v>213</v>
      </c>
      <c r="C5" s="9" t="s">
        <v>214</v>
      </c>
      <c r="D5" s="9" t="s">
        <v>215</v>
      </c>
      <c r="E5" s="9" t="s">
        <v>216</v>
      </c>
      <c r="F5" s="9" t="s">
        <v>217</v>
      </c>
      <c r="G5" s="9" t="s">
        <v>218</v>
      </c>
      <c r="H5" s="9" t="s">
        <v>219</v>
      </c>
      <c r="I5" s="9" t="s">
        <v>220</v>
      </c>
      <c r="J5" s="9" t="s">
        <v>221</v>
      </c>
    </row>
    <row r="6" ht="150" customHeight="1" spans="1:10" x14ac:dyDescent="0.25">
      <c r="A6" s="15" t="s">
        <v>84</v>
      </c>
      <c r="B6" s="9" t="s">
        <v>222</v>
      </c>
      <c r="C6" s="9" t="s">
        <v>223</v>
      </c>
      <c r="D6" s="9" t="s">
        <v>224</v>
      </c>
      <c r="E6" s="9" t="s">
        <v>225</v>
      </c>
      <c r="F6" s="9" t="s">
        <v>226</v>
      </c>
      <c r="G6" s="9" t="s">
        <v>227</v>
      </c>
      <c r="H6" s="9" t="s">
        <v>228</v>
      </c>
      <c r="I6" s="9" t="s">
        <v>229</v>
      </c>
      <c r="J6" s="9" t="s">
        <v>230</v>
      </c>
    </row>
    <row r="7" ht="150" customHeight="1" spans="1:10" x14ac:dyDescent="0.25">
      <c r="A7" s="15" t="s">
        <v>90</v>
      </c>
      <c r="B7" s="9" t="s">
        <v>231</v>
      </c>
      <c r="C7" s="9" t="s">
        <v>232</v>
      </c>
      <c r="D7" s="9" t="s">
        <v>233</v>
      </c>
      <c r="E7" s="9" t="s">
        <v>234</v>
      </c>
      <c r="F7" s="9" t="s">
        <v>235</v>
      </c>
      <c r="G7" s="9" t="s">
        <v>236</v>
      </c>
      <c r="H7" s="9" t="s">
        <v>237</v>
      </c>
      <c r="I7" s="9" t="s">
        <v>238</v>
      </c>
      <c r="J7" s="9" t="s">
        <v>239</v>
      </c>
    </row>
    <row r="8" ht="150" customHeight="1" spans="1:10" x14ac:dyDescent="0.25">
      <c r="A8" s="15" t="s">
        <v>95</v>
      </c>
      <c r="B8" s="9" t="s">
        <v>240</v>
      </c>
      <c r="C8" s="9" t="s">
        <v>241</v>
      </c>
      <c r="D8" s="9" t="s">
        <v>242</v>
      </c>
      <c r="E8" s="9" t="s">
        <v>243</v>
      </c>
      <c r="F8" s="9" t="s">
        <v>244</v>
      </c>
      <c r="G8" s="9" t="s">
        <v>245</v>
      </c>
      <c r="H8" s="9" t="s">
        <v>246</v>
      </c>
      <c r="I8" s="9" t="s">
        <v>247</v>
      </c>
      <c r="J8" s="9" t="s">
        <v>248</v>
      </c>
    </row>
    <row r="10" spans="1:10" x14ac:dyDescent="0.25">
      <c r="A10" s="23" t="s">
        <v>249</v>
      </c>
      <c r="B10" s="23"/>
      <c r="C10" s="23"/>
      <c r="D10" s="23"/>
      <c r="E10" s="23"/>
      <c r="F10" s="23"/>
      <c r="G10" s="23"/>
      <c r="H10" s="23"/>
      <c r="I10" s="23"/>
      <c r="J10" s="23"/>
    </row>
  </sheetData>
  <mergeCells count="5">
    <mergeCell ref="B1:D1"/>
    <mergeCell ref="E1:G1"/>
    <mergeCell ref="H1:J1"/>
    <mergeCell ref="A1:A2"/>
    <mergeCell ref="A10:J10"/>
  </mergeCells>
  <pageMargins left="0.7" right="0.7" top="0.75" bottom="0.75" header="0.3" footer="0.3"/>
  <pageSetup paperSize="9"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5" x14ac:dyDescent="0.25">
      <c r="A1" t="s">
        <v>250</v>
      </c>
      <c r="C1" t="s">
        <v>251</v>
      </c>
      <c r="E1" t="s">
        <v>252</v>
      </c>
    </row>
    <row r="3" spans="1:6" x14ac:dyDescent="0.25">
      <c r="A3" t="s">
        <v>253</v>
      </c>
      <c r="B3" t="s">
        <v>254</v>
      </c>
      <c r="C3" t="s">
        <v>253</v>
      </c>
      <c r="D3" t="s">
        <v>254</v>
      </c>
      <c r="E3" t="s">
        <v>253</v>
      </c>
      <c r="F3" t="s">
        <v>254</v>
      </c>
    </row>
    <row r="4" spans="1:6" x14ac:dyDescent="0.25">
      <c r="A4" t="s">
        <v>255</v>
      </c>
      <c r="B4">
        <f>IF(Anwendung!G3="Normal",1,(IF(Anwendung!G3="Hoch",10,(IF(Anwendung!G3="Sehr hoch",1000,0)))))</f>
        <v>10</v>
      </c>
      <c r="C4" t="s">
        <v>256</v>
      </c>
      <c r="D4">
        <f>IF(Anwendung!G39="Normal",1,(IF(Anwendung!G39="Hoch",10,(IF(Anwendung!G39="Sehr hoch",1000,0)))))</f>
        <v>1</v>
      </c>
      <c r="E4" t="s">
        <v>257</v>
      </c>
      <c r="F4">
        <f>IF(Anwendung!G76="Normal",1,(IF(Anwendung!G76="Hoch",10,(IF(Anwendung!G76="Sehr hoch",1000,0)))))</f>
        <v>1</v>
      </c>
    </row>
    <row r="5" spans="1:6" x14ac:dyDescent="0.25">
      <c r="A5" t="s">
        <v>258</v>
      </c>
      <c r="B5">
        <f>IF(Anwendung!G9="Normal",1,(IF(Anwendung!G9="Hoch",10,(IF(Anwendung!G9="Sehr hoch",1000,0)))))</f>
        <v>10</v>
      </c>
      <c r="C5" t="s">
        <v>259</v>
      </c>
      <c r="D5">
        <f>IF(Anwendung!G45="Normal",1,(IF(Anwendung!G45="Hoch",10,(IF(Anwendung!G45="Sehr hoch",1000,0)))))</f>
        <v>1</v>
      </c>
      <c r="E5" t="s">
        <v>260</v>
      </c>
      <c r="F5">
        <f>IF(Anwendung!G82="Normal",1,(IF(Anwendung!G82="Hoch",10,(IF(Anwendung!G82="Sehr hoch",1000,0)))))</f>
        <v>1</v>
      </c>
    </row>
    <row r="6" spans="1:6" x14ac:dyDescent="0.25">
      <c r="A6" t="s">
        <v>261</v>
      </c>
      <c r="B6">
        <f>IF(Anwendung!G17="Normal",1,(IF(Anwendung!G17="Hoch",10,(IF(Anwendung!G17="Sehr hoch",1000,0)))))</f>
        <v>1</v>
      </c>
      <c r="C6" t="s">
        <v>262</v>
      </c>
      <c r="D6">
        <f>IF(Anwendung!G51="Normal",1,(IF(Anwendung!G51="Hoch",10,(IF(Anwendung!G51="Sehr hoch",1000,0)))))</f>
        <v>1</v>
      </c>
      <c r="E6" t="s">
        <v>263</v>
      </c>
      <c r="F6">
        <f>IF(Anwendung!G88="Normal",1,(IF(Anwendung!G88="Hoch",10,(IF(Anwendung!G88="Sehr hoch",1000,0)))))</f>
        <v>1</v>
      </c>
    </row>
    <row r="7" spans="1:6" x14ac:dyDescent="0.25">
      <c r="A7" t="s">
        <v>264</v>
      </c>
      <c r="B7">
        <f>IF(Anwendung!G23="Normal",1,(IF(Anwendung!G23="Hoch",10,(IF(Anwendung!G23="Sehr hoch",1000,0)))))</f>
        <v>1</v>
      </c>
      <c r="C7" t="s">
        <v>265</v>
      </c>
      <c r="D7">
        <f>IF(Anwendung!G54="Normal",1,(IF(Anwendung!G54="Hoch",10,(IF(Anwendung!G54="Sehr hoch",1000,0)))))</f>
        <v>1</v>
      </c>
      <c r="E7" t="s">
        <v>266</v>
      </c>
      <c r="F7">
        <f>IF(Anwendung!G91="Normal",1,(IF(Anwendung!G91="Hoch",10,(IF(Anwendung!G91="Sehr hoch",1000,0)))))</f>
        <v>1000</v>
      </c>
    </row>
    <row r="8" spans="1:6" x14ac:dyDescent="0.25">
      <c r="A8" t="s">
        <v>267</v>
      </c>
      <c r="B8">
        <f>IF(Anwendung!G29="Normal",1,(IF(Anwendung!G29="Hoch",10,(IF(Anwendung!G29="Sehr hoch",1000,0)))))</f>
        <v>1</v>
      </c>
      <c r="C8" t="s">
        <v>268</v>
      </c>
      <c r="D8">
        <f>IF(Anwendung!G60="Normal",1,(IF(Anwendung!G60="Hoch",10,(IF(Anwendung!G60="Sehr hoch",1000,0)))))</f>
        <v>1</v>
      </c>
      <c r="E8" t="s">
        <v>269</v>
      </c>
      <c r="F8">
        <f>IF(Anwendung!G97="Normal",1,(IF(Anwendung!G97="Hoch",10,(IF(Anwendung!G97="Sehr hoch",1000,0)))))</f>
        <v>1</v>
      </c>
    </row>
    <row r="9" spans="3:6" x14ac:dyDescent="0.25">
      <c r="C9" t="s">
        <v>270</v>
      </c>
      <c r="D9">
        <f>IF(Anwendung!G66="Normal",1,(IF(Anwendung!G66="Hoch",10,(IF(Anwendung!G66="Sehr hoch",1000,0)))))</f>
        <v>1</v>
      </c>
      <c r="E9" t="s">
        <v>271</v>
      </c>
      <c r="F9">
        <f>IF(Anwendung!G103="Normal",1,(IF(Anwendung!G103="Hoch",10,(IF(Anwendung!G103="Sehr hoch",1000,0)))))</f>
        <v>1</v>
      </c>
    </row>
    <row r="10" spans="1:6" x14ac:dyDescent="0.25">
      <c r="A10" t="s">
        <v>272</v>
      </c>
      <c r="B10">
        <f>SUM(B4:B8)</f>
        <v>23</v>
      </c>
      <c r="C10" t="s">
        <v>272</v>
      </c>
      <c r="D10">
        <f>SUM(D4:D9)</f>
        <v>6</v>
      </c>
      <c r="E10" t="s">
        <v>272</v>
      </c>
      <c r="F10">
        <f>SUM(F4:F9)</f>
        <v>1005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Deckblatt</vt:lpstr>
      <vt:lpstr>Anwendung</vt:lpstr>
      <vt:lpstr>Audit-Trail</vt:lpstr>
      <vt:lpstr>Definitionen</vt:lpstr>
      <vt:lpstr>Hilfstabelle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KOPEXA Schutzbedarfsanalyse</dc:creator>
  <dc:title>Schutzbedarfsanalyse Kunden-CRM 1.0</dc:title>
  <dc:subject/>
  <dc:description/>
  <cp:keywords/>
  <cp:category/>
  <cp:lastModifiedBy>Anna Beispiel</cp:lastModifiedBy>
  <dcterms:created xsi:type="dcterms:W3CDTF">2026-09-30T08:55:00Z</dcterms:created>
  <dcterms:modified xsi:type="dcterms:W3CDTF">2026-09-30T08:55:05Z</dcterms:modified>
</cp:coreProperties>
</file>